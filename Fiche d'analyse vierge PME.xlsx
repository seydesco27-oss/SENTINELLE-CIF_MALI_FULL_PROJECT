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T BEI HORUS\PME\"/>
    </mc:Choice>
  </mc:AlternateContent>
  <bookViews>
    <workbookView xWindow="240" yWindow="300" windowWidth="13995" windowHeight="6675"/>
  </bookViews>
  <sheets>
    <sheet name="Feuil1" sheetId="1" r:id="rId1"/>
  </sheets>
  <definedNames>
    <definedName name="_xlnm.Print_Area" localSheetId="0">Feuil1!$A$1:$F$165</definedName>
  </definedNames>
  <calcPr calcId="162913"/>
</workbook>
</file>

<file path=xl/calcChain.xml><?xml version="1.0" encoding="utf-8"?>
<calcChain xmlns="http://schemas.openxmlformats.org/spreadsheetml/2006/main">
  <c r="C131" i="1" l="1"/>
  <c r="D84" i="1" l="1"/>
  <c r="F111" i="1" l="1"/>
  <c r="C111" i="1"/>
  <c r="C88" i="1" l="1"/>
  <c r="C87" i="1"/>
  <c r="C89" i="1"/>
  <c r="C91" i="1"/>
  <c r="C94" i="1" l="1"/>
  <c r="C92" i="1"/>
  <c r="C90" i="1"/>
  <c r="C85" i="1" l="1"/>
  <c r="F88" i="1"/>
  <c r="F89" i="1"/>
  <c r="F90" i="1"/>
  <c r="F91" i="1"/>
  <c r="F92" i="1"/>
  <c r="F94" i="1"/>
  <c r="E85" i="1" l="1"/>
  <c r="E87" i="1"/>
  <c r="E89" i="1"/>
  <c r="E91" i="1"/>
  <c r="E88" i="1"/>
  <c r="E90" i="1"/>
  <c r="E92" i="1"/>
  <c r="E94" i="1"/>
  <c r="D86" i="1" l="1"/>
  <c r="E86" i="1" s="1"/>
  <c r="B86" i="1"/>
  <c r="C86" i="1" s="1"/>
  <c r="F85" i="1"/>
  <c r="F84" i="1"/>
  <c r="F78" i="1"/>
  <c r="C71" i="1"/>
  <c r="C78" i="1"/>
  <c r="F86" i="1" l="1"/>
  <c r="C79" i="1"/>
  <c r="B150" i="1" l="1"/>
  <c r="E135" i="1"/>
  <c r="F79" i="1"/>
  <c r="C93" i="1" l="1"/>
  <c r="E137" i="1"/>
  <c r="E138" i="1" s="1"/>
  <c r="C122" i="1"/>
  <c r="F121" i="1" s="1"/>
  <c r="F122" i="1" s="1"/>
  <c r="F93" i="1" l="1"/>
  <c r="E93" i="1"/>
  <c r="D95" i="1"/>
  <c r="F87" i="1"/>
  <c r="E95" i="1" l="1"/>
  <c r="D96" i="1"/>
  <c r="E96" i="1" s="1"/>
  <c r="B95" i="1" l="1"/>
  <c r="F95" i="1" l="1"/>
  <c r="C95" i="1"/>
  <c r="B96" i="1"/>
  <c r="F96" i="1" l="1"/>
  <c r="B105" i="1"/>
  <c r="C96" i="1"/>
  <c r="F71" i="1" l="1"/>
  <c r="B104" i="1"/>
  <c r="F103" i="1" l="1"/>
  <c r="F126" i="1"/>
  <c r="F131" i="1" s="1"/>
</calcChain>
</file>

<file path=xl/sharedStrings.xml><?xml version="1.0" encoding="utf-8"?>
<sst xmlns="http://schemas.openxmlformats.org/spreadsheetml/2006/main" count="202" uniqueCount="180">
  <si>
    <t>IDENTIFICATION DE L'EMPRUNTEUR</t>
  </si>
  <si>
    <t>DATE</t>
  </si>
  <si>
    <t>MONTANT</t>
  </si>
  <si>
    <t>OBJET DU PRÊT</t>
  </si>
  <si>
    <t>BUT DE LA DEMANDE ET CONDITIONS DE REMBOURSEMENT</t>
  </si>
  <si>
    <t>DÉTAIL DU PROJET</t>
  </si>
  <si>
    <t>DESCRIPTION</t>
  </si>
  <si>
    <t>COÛT</t>
  </si>
  <si>
    <t>SOURCE DE FINANCEMENT</t>
  </si>
  <si>
    <t>D’où un besoin réel en crédit de</t>
  </si>
  <si>
    <t>FONCTIONNEMENT DE L'ACTIVITÉ</t>
  </si>
  <si>
    <t>Équipements disponibles</t>
  </si>
  <si>
    <t>Horaires de travail</t>
  </si>
  <si>
    <t>ANALYSE DU MARCHÉ</t>
  </si>
  <si>
    <t>COMMERCIALISATION</t>
  </si>
  <si>
    <t>Lieux de vente</t>
  </si>
  <si>
    <t>Stratégie de vente</t>
  </si>
  <si>
    <t>Périodes favorables</t>
  </si>
  <si>
    <t>ACTIF</t>
  </si>
  <si>
    <t>PASSIF</t>
  </si>
  <si>
    <t>Description</t>
  </si>
  <si>
    <t>Montant</t>
  </si>
  <si>
    <t>Dettes fiscales et sociales</t>
  </si>
  <si>
    <t>Actif court terme total</t>
  </si>
  <si>
    <t>Passif à court terme total</t>
  </si>
  <si>
    <t>Fonds propres</t>
  </si>
  <si>
    <t>Mobilier de bureau</t>
  </si>
  <si>
    <t>Matériel informatique</t>
  </si>
  <si>
    <t xml:space="preserve">Montant </t>
  </si>
  <si>
    <t>%</t>
  </si>
  <si>
    <t>Marge brute</t>
  </si>
  <si>
    <t>Loyer</t>
  </si>
  <si>
    <t>Téléphone</t>
  </si>
  <si>
    <t>SITUATION FINANCIÈRE PERSONNELLE</t>
  </si>
  <si>
    <t>REVENUS MENSUELS</t>
  </si>
  <si>
    <t>DÉBOURSÉS MENSUELS</t>
  </si>
  <si>
    <t>Nourriture</t>
  </si>
  <si>
    <t>Habillement, soins, autres</t>
  </si>
  <si>
    <t>BILAN PERSONNEL</t>
  </si>
  <si>
    <t>Meubles</t>
  </si>
  <si>
    <t xml:space="preserve">Personnel disponible </t>
  </si>
  <si>
    <t>Produits vendus</t>
  </si>
  <si>
    <t>ACTIF TOTAL</t>
  </si>
  <si>
    <t>PASSIF TOTAL</t>
  </si>
  <si>
    <t>Capital social</t>
  </si>
  <si>
    <t>Autres</t>
  </si>
  <si>
    <t>Emprunt moyen, long terme</t>
  </si>
  <si>
    <t>Emprunt à court terme</t>
  </si>
  <si>
    <t>TOTAL</t>
  </si>
  <si>
    <t>Emprunt à Kafo Jiginew</t>
  </si>
  <si>
    <t>ANALYSE DE LA CAPACITÉ DE REMBOURSEMENT</t>
  </si>
  <si>
    <t>DESCRIPTION ET ÉVALUATION DES GARANTIES</t>
  </si>
  <si>
    <t>FORCES</t>
  </si>
  <si>
    <t>FAIBLESSES</t>
  </si>
  <si>
    <t>RECOMMANDATION ET AUTORISATION</t>
  </si>
  <si>
    <t>Type d'entreprise:</t>
  </si>
  <si>
    <t>Valeur</t>
  </si>
  <si>
    <t>Dépenses totales</t>
  </si>
  <si>
    <t>Historique:</t>
  </si>
  <si>
    <t>POSTE</t>
  </si>
  <si>
    <t>OPPORTUNITES</t>
  </si>
  <si>
    <t>MENACES</t>
  </si>
  <si>
    <t>Autres revenus (provenance)</t>
  </si>
  <si>
    <t>ANALYSE DE DEMANDE DE PRÊT</t>
  </si>
  <si>
    <t xml:space="preserve">Apport personnel </t>
  </si>
  <si>
    <t>TOTAL PROJET</t>
  </si>
  <si>
    <t>Actif long terme total</t>
  </si>
  <si>
    <t>Passif long terme total</t>
  </si>
  <si>
    <t>F CFA</t>
  </si>
  <si>
    <t xml:space="preserve">FCFA </t>
  </si>
  <si>
    <t>Total à rembourser:</t>
  </si>
  <si>
    <t xml:space="preserve">Mode de remboursement : </t>
  </si>
  <si>
    <t>Ratio de couverture des garanties (%)</t>
  </si>
  <si>
    <t>Montant de l'échéance:</t>
  </si>
  <si>
    <t xml:space="preserve">Taxes </t>
  </si>
  <si>
    <t>Adresse de l'entreprise:</t>
  </si>
  <si>
    <t>Date et lieu de naissance</t>
  </si>
  <si>
    <t>Autres frais immobilisés</t>
  </si>
  <si>
    <t>variation</t>
  </si>
  <si>
    <t xml:space="preserve">Salaire du personnel </t>
  </si>
  <si>
    <t>Appareils électroménagers</t>
  </si>
  <si>
    <t>Caution déposée sur loyer</t>
  </si>
  <si>
    <t>Prix d'achat marchandises</t>
  </si>
  <si>
    <t>Documents administratifs</t>
  </si>
  <si>
    <t>APPRECIATION  SUR L'ACTIVITE DU DEMANDEUR</t>
  </si>
  <si>
    <t>Besoins en fonds de roulement</t>
  </si>
  <si>
    <t xml:space="preserve">Dépôt de garantie de 10% du montant du prêt soit  </t>
  </si>
  <si>
    <t xml:space="preserve">Dépôt de garantie 10% :   </t>
  </si>
  <si>
    <t>: (actuel)</t>
  </si>
  <si>
    <t>Électricité</t>
  </si>
  <si>
    <t>Revenus personnels:</t>
  </si>
  <si>
    <t>Dépenses personnelles:</t>
  </si>
  <si>
    <t>surplus personnel:</t>
  </si>
  <si>
    <t>montant disponible pour le remboursement:</t>
  </si>
  <si>
    <t xml:space="preserve">Marge disponible après remboursement:   </t>
  </si>
  <si>
    <t>Salaire net de l'exploitant</t>
  </si>
  <si>
    <t>Electricité/Eau</t>
  </si>
  <si>
    <t xml:space="preserve">Loyer </t>
  </si>
  <si>
    <t>Adresse du domicile</t>
  </si>
  <si>
    <t>ETAT DE REMBOURSEMENT</t>
  </si>
  <si>
    <t xml:space="preserve">Produits/services vendus: </t>
  </si>
  <si>
    <t xml:space="preserve">Durée : </t>
  </si>
  <si>
    <t xml:space="preserve">Taux : </t>
  </si>
  <si>
    <t>Dettes Fournisseurs</t>
  </si>
  <si>
    <t>Caractéristiques clientèle</t>
  </si>
  <si>
    <t>Évaluation emplacement</t>
  </si>
  <si>
    <t>Affluence de la clientèle</t>
  </si>
  <si>
    <t>Lieux d'approvisionnement</t>
  </si>
  <si>
    <t>Évaluation des compétences</t>
  </si>
  <si>
    <t>Besoins d'Investissements</t>
  </si>
  <si>
    <t>Autres Emprunts</t>
  </si>
  <si>
    <t>Fonds en Caisse disponible</t>
  </si>
  <si>
    <t>Stocks de matières premières</t>
  </si>
  <si>
    <t>BUDGET PERSONNEL</t>
  </si>
  <si>
    <t>Stocks de marchandises</t>
  </si>
  <si>
    <t xml:space="preserve">Réside Chez  : </t>
  </si>
  <si>
    <t>Répartition des taches</t>
  </si>
  <si>
    <t>: (prévision)</t>
  </si>
  <si>
    <t>Téléphone :</t>
  </si>
  <si>
    <t>Nom de l'emprunteur:</t>
  </si>
  <si>
    <t>Excédent</t>
  </si>
  <si>
    <t>Dédouanement et transport</t>
  </si>
  <si>
    <t xml:space="preserve">N° de Compte: </t>
  </si>
  <si>
    <t xml:space="preserve">mois  </t>
  </si>
  <si>
    <t>par mois</t>
  </si>
  <si>
    <t>en capital et intérêts</t>
  </si>
  <si>
    <t>Fonds propre personnel</t>
  </si>
  <si>
    <t>Emprunts</t>
  </si>
  <si>
    <t>Comptes à payer</t>
  </si>
  <si>
    <t xml:space="preserve">Terrain </t>
  </si>
  <si>
    <t xml:space="preserve">Vu ce qui précède et après examen des éléments du dossier, nous pensons que le risque est </t>
  </si>
  <si>
    <t>Sociétaire de K J depuis</t>
  </si>
  <si>
    <t xml:space="preserve">Nbre de concurrents directs </t>
  </si>
  <si>
    <t xml:space="preserve">Banque (DAV à Kafo Jiginew ) </t>
  </si>
  <si>
    <t xml:space="preserve">RESULTAT </t>
  </si>
  <si>
    <t xml:space="preserve">FCFA aux conditions suivantes: </t>
  </si>
  <si>
    <t>Terrain</t>
  </si>
  <si>
    <t xml:space="preserve">Nom de la conjointe: </t>
  </si>
  <si>
    <t xml:space="preserve">Personnes en charge: </t>
  </si>
  <si>
    <t>Chiffre d'affaires</t>
  </si>
  <si>
    <t>Charges financières</t>
  </si>
  <si>
    <t xml:space="preserve"> </t>
  </si>
  <si>
    <t xml:space="preserve">Aménagements et Installations </t>
  </si>
  <si>
    <t>COMPTE DES REVENUS ET DEPENSES ACTUEL ET PREVISIONNEL</t>
  </si>
  <si>
    <t>Avances versées aux Fournisseurs</t>
  </si>
  <si>
    <t>Matériels d'expl (étagères, portes Veste, comptoirs chaises)</t>
  </si>
  <si>
    <t>SITUATION DU COMPTE DAV DURANT LES 06 DERNIERS MOIS</t>
  </si>
  <si>
    <t>DEPOTS</t>
  </si>
  <si>
    <t>RETRAITS</t>
  </si>
  <si>
    <t>Nombre</t>
  </si>
  <si>
    <t>Dépôt/   Moyen</t>
  </si>
  <si>
    <t>Retrait/Moyen</t>
  </si>
  <si>
    <t xml:space="preserve">Résultat </t>
  </si>
  <si>
    <t xml:space="preserve">Bénéfice de l'activité </t>
  </si>
  <si>
    <t xml:space="preserve">(+ou-) Surplus personnel </t>
  </si>
  <si>
    <t xml:space="preserve">Echéance de l'emprunt </t>
  </si>
  <si>
    <t>Ratio de solvabilité (Crédit accordé/Fonds propres )</t>
  </si>
  <si>
    <t>(norme: ≤50%)</t>
  </si>
  <si>
    <t>(norme: ≥200%)</t>
  </si>
  <si>
    <t>Ratio de couverture dette (résultat net/échéance )</t>
  </si>
  <si>
    <t>Chef Service Crédit Urbain</t>
  </si>
  <si>
    <t>D C E</t>
  </si>
  <si>
    <t>Créances Clients (Saine)</t>
  </si>
  <si>
    <t>Rapport de Solvabilité/BIC</t>
  </si>
  <si>
    <t>Analyste de Crédit</t>
  </si>
  <si>
    <t>Les analystes du dossier</t>
  </si>
  <si>
    <t xml:space="preserve">Maison </t>
  </si>
  <si>
    <t>Le sociétaire n'a pas d'engagement vis-à-vis d'une autre institution financière</t>
  </si>
  <si>
    <t>BILAN DE L'ENTREPRISE AU 29/02/2021</t>
  </si>
  <si>
    <t>Carburant moto</t>
  </si>
  <si>
    <t>Boutique</t>
  </si>
  <si>
    <t>Autos( 1 camion et 2 motos)</t>
  </si>
  <si>
    <t>Guichet de ….</t>
  </si>
  <si>
    <t xml:space="preserve">Date d'analyse: </t>
  </si>
  <si>
    <t xml:space="preserve">ANTECEDENTS DE CREDIT: </t>
  </si>
  <si>
    <t>…..ème Prêt</t>
  </si>
  <si>
    <t>Mise en gage au profit de Kafo Jiginew</t>
  </si>
  <si>
    <t>acceptable et sommes d'avis favorable pour que M. ……... bénéficie auprès de la Caisse</t>
  </si>
  <si>
    <t xml:space="preserve">de …….  d'un crédit de   </t>
  </si>
  <si>
    <t xml:space="preserve">FCFA soit …. échéances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</si>
</sst>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-* #,##0\ _C_F_A_-;\-* #,##0\ _C_F_A_-;_-* &quot;-&quot;\ _C_F_A_-;_-@_-"/>
    <numFmt numFmtId="165" formatCode="#,##0.0"/>
    <numFmt numFmtId="166" formatCode="_-* #,##0\ _€_-;\-* #,##0\ _€_-;_-* &quot;-&quot;??\ _€_-;_-@_-"/>
    <numFmt numFmtId="167" formatCode="#,##0\ _€"/>
    <numFmt numFmtId="168" formatCode="0.0%"/>
    <numFmt numFmtId="169" formatCode="#,##0_ ;\-#,##0\ "/>
  </numFmts>
  <fonts count="1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b/>
      <sz val="14"/>
      <name val="Cambria"/>
      <family val="1"/>
      <scheme val="major"/>
    </font>
    <font>
      <sz val="12"/>
      <name val="Cambria"/>
      <family val="1"/>
      <scheme val="major"/>
    </font>
    <font>
      <sz val="14"/>
      <name val="Cambria"/>
      <family val="1"/>
      <scheme val="major"/>
    </font>
    <font>
      <i/>
      <sz val="12"/>
      <name val="Cambria"/>
      <family val="1"/>
      <scheme val="major"/>
    </font>
    <font>
      <b/>
      <i/>
      <sz val="12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20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5" fillId="0" borderId="0" applyFont="0" applyFill="0" applyBorder="0" applyAlignment="0" applyProtection="0"/>
  </cellStyleXfs>
  <cellXfs count="320">
    <xf numFmtId="0" fontId="0" fillId="0" borderId="0" xfId="0"/>
    <xf numFmtId="0" fontId="4" fillId="0" borderId="6" xfId="0" applyFont="1" applyFill="1" applyBorder="1" applyAlignment="1"/>
    <xf numFmtId="0" fontId="5" fillId="0" borderId="0" xfId="0" applyFont="1"/>
    <xf numFmtId="0" fontId="6" fillId="0" borderId="0" xfId="0" applyFont="1"/>
    <xf numFmtId="0" fontId="8" fillId="0" borderId="0" xfId="0" applyFont="1"/>
    <xf numFmtId="3" fontId="6" fillId="0" borderId="0" xfId="0" applyNumberFormat="1" applyFont="1" applyFill="1" applyBorder="1" applyAlignment="1">
      <alignment horizontal="center"/>
    </xf>
    <xf numFmtId="0" fontId="6" fillId="0" borderId="33" xfId="0" applyFont="1" applyFill="1" applyBorder="1" applyAlignment="1"/>
    <xf numFmtId="0" fontId="8" fillId="0" borderId="0" xfId="0" applyFont="1" applyAlignment="1">
      <alignment horizontal="left"/>
    </xf>
    <xf numFmtId="0" fontId="6" fillId="0" borderId="0" xfId="0" applyFont="1" applyFill="1" applyBorder="1" applyAlignment="1"/>
    <xf numFmtId="0" fontId="8" fillId="0" borderId="0" xfId="0" applyFont="1" applyBorder="1"/>
    <xf numFmtId="0" fontId="4" fillId="0" borderId="6" xfId="0" applyFont="1" applyFill="1" applyBorder="1" applyAlignment="1">
      <alignment horizontal="justify"/>
    </xf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4" fillId="0" borderId="6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7" fillId="0" borderId="0" xfId="0" applyFont="1" applyBorder="1"/>
    <xf numFmtId="0" fontId="7" fillId="0" borderId="0" xfId="0" applyFont="1"/>
    <xf numFmtId="0" fontId="7" fillId="0" borderId="9" xfId="0" applyFont="1" applyBorder="1"/>
    <xf numFmtId="166" fontId="4" fillId="0" borderId="0" xfId="1" applyNumberFormat="1" applyFont="1" applyFill="1" applyBorder="1" applyAlignment="1"/>
    <xf numFmtId="0" fontId="7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center" vertical="center"/>
    </xf>
    <xf numFmtId="4" fontId="4" fillId="0" borderId="0" xfId="1" applyNumberFormat="1" applyFont="1" applyFill="1" applyBorder="1" applyAlignment="1">
      <alignment horizontal="center"/>
    </xf>
    <xf numFmtId="166" fontId="4" fillId="0" borderId="0" xfId="1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right"/>
    </xf>
    <xf numFmtId="3" fontId="4" fillId="3" borderId="0" xfId="0" applyNumberFormat="1" applyFont="1" applyFill="1" applyBorder="1" applyAlignment="1">
      <alignment horizontal="center"/>
    </xf>
    <xf numFmtId="0" fontId="7" fillId="0" borderId="5" xfId="0" applyFont="1" applyBorder="1" applyAlignment="1"/>
    <xf numFmtId="0" fontId="7" fillId="3" borderId="6" xfId="2" applyNumberFormat="1" applyFont="1" applyFill="1" applyBorder="1" applyAlignment="1">
      <alignment horizontal="center"/>
    </xf>
    <xf numFmtId="0" fontId="4" fillId="0" borderId="5" xfId="0" applyFont="1" applyFill="1" applyBorder="1"/>
    <xf numFmtId="3" fontId="7" fillId="0" borderId="5" xfId="1" applyNumberFormat="1" applyFont="1" applyBorder="1" applyAlignment="1">
      <alignment horizontal="center"/>
    </xf>
    <xf numFmtId="0" fontId="7" fillId="0" borderId="6" xfId="0" applyFont="1" applyBorder="1"/>
    <xf numFmtId="0" fontId="7" fillId="0" borderId="4" xfId="0" applyFont="1" applyBorder="1"/>
    <xf numFmtId="3" fontId="7" fillId="0" borderId="5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/>
    </xf>
    <xf numFmtId="0" fontId="7" fillId="0" borderId="5" xfId="0" applyFont="1" applyBorder="1"/>
    <xf numFmtId="0" fontId="7" fillId="0" borderId="3" xfId="0" applyFont="1" applyBorder="1"/>
    <xf numFmtId="3" fontId="4" fillId="0" borderId="5" xfId="0" applyNumberFormat="1" applyFont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0" fontId="4" fillId="0" borderId="5" xfId="0" applyFont="1" applyBorder="1" applyAlignment="1">
      <alignment horizontal="left"/>
    </xf>
    <xf numFmtId="0" fontId="5" fillId="0" borderId="2" xfId="0" applyFont="1" applyBorder="1"/>
    <xf numFmtId="3" fontId="7" fillId="0" borderId="5" xfId="0" applyNumberFormat="1" applyFont="1" applyBorder="1" applyAlignment="1">
      <alignment horizontal="right"/>
    </xf>
    <xf numFmtId="3" fontId="7" fillId="0" borderId="5" xfId="0" applyNumberFormat="1" applyFont="1" applyBorder="1"/>
    <xf numFmtId="0" fontId="7" fillId="0" borderId="13" xfId="0" applyFont="1" applyFill="1" applyBorder="1"/>
    <xf numFmtId="4" fontId="7" fillId="0" borderId="5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7" fillId="0" borderId="7" xfId="0" applyFont="1" applyFill="1" applyBorder="1"/>
    <xf numFmtId="0" fontId="7" fillId="3" borderId="5" xfId="0" applyFont="1" applyFill="1" applyBorder="1"/>
    <xf numFmtId="0" fontId="7" fillId="0" borderId="5" xfId="0" applyFont="1" applyFill="1" applyBorder="1"/>
    <xf numFmtId="3" fontId="7" fillId="0" borderId="30" xfId="0" applyNumberFormat="1" applyFont="1" applyBorder="1" applyAlignment="1"/>
    <xf numFmtId="3" fontId="7" fillId="0" borderId="4" xfId="0" applyNumberFormat="1" applyFont="1" applyBorder="1" applyAlignment="1"/>
    <xf numFmtId="3" fontId="7" fillId="0" borderId="6" xfId="0" applyNumberFormat="1" applyFont="1" applyBorder="1"/>
    <xf numFmtId="3" fontId="7" fillId="0" borderId="3" xfId="0" applyNumberFormat="1" applyFont="1" applyBorder="1"/>
    <xf numFmtId="0" fontId="7" fillId="0" borderId="11" xfId="0" applyFont="1" applyBorder="1" applyAlignment="1">
      <alignment horizontal="left"/>
    </xf>
    <xf numFmtId="0" fontId="7" fillId="0" borderId="4" xfId="0" applyFont="1" applyBorder="1" applyAlignment="1"/>
    <xf numFmtId="0" fontId="4" fillId="0" borderId="10" xfId="0" applyFont="1" applyFill="1" applyBorder="1" applyAlignment="1"/>
    <xf numFmtId="0" fontId="4" fillId="0" borderId="1" xfId="0" applyFont="1" applyFill="1" applyBorder="1" applyAlignment="1"/>
    <xf numFmtId="0" fontId="4" fillId="0" borderId="48" xfId="0" applyFont="1" applyFill="1" applyBorder="1" applyAlignment="1"/>
    <xf numFmtId="166" fontId="7" fillId="0" borderId="5" xfId="1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 vertical="center"/>
    </xf>
    <xf numFmtId="166" fontId="4" fillId="0" borderId="5" xfId="1" applyNumberFormat="1" applyFont="1" applyBorder="1" applyAlignment="1">
      <alignment horizontal="center"/>
    </xf>
    <xf numFmtId="166" fontId="4" fillId="0" borderId="5" xfId="0" applyNumberFormat="1" applyFont="1" applyBorder="1"/>
    <xf numFmtId="0" fontId="7" fillId="0" borderId="0" xfId="0" applyFont="1" applyFill="1"/>
    <xf numFmtId="167" fontId="7" fillId="0" borderId="5" xfId="0" applyNumberFormat="1" applyFont="1" applyBorder="1" applyAlignment="1">
      <alignment vertical="center"/>
    </xf>
    <xf numFmtId="0" fontId="4" fillId="0" borderId="12" xfId="0" applyFont="1" applyFill="1" applyBorder="1" applyAlignment="1"/>
    <xf numFmtId="166" fontId="4" fillId="0" borderId="2" xfId="1" applyNumberFormat="1" applyFont="1" applyFill="1" applyBorder="1" applyAlignment="1"/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/>
    <xf numFmtId="0" fontId="4" fillId="0" borderId="9" xfId="0" applyFont="1" applyFill="1" applyBorder="1" applyAlignment="1"/>
    <xf numFmtId="3" fontId="7" fillId="0" borderId="28" xfId="0" applyNumberFormat="1" applyFont="1" applyBorder="1" applyAlignment="1"/>
    <xf numFmtId="3" fontId="7" fillId="0" borderId="29" xfId="0" applyNumberFormat="1" applyFont="1" applyBorder="1" applyAlignment="1"/>
    <xf numFmtId="3" fontId="7" fillId="0" borderId="6" xfId="0" applyNumberFormat="1" applyFont="1" applyBorder="1" applyAlignment="1"/>
    <xf numFmtId="3" fontId="7" fillId="0" borderId="3" xfId="0" applyNumberFormat="1" applyFont="1" applyBorder="1" applyAlignment="1"/>
    <xf numFmtId="0" fontId="7" fillId="0" borderId="6" xfId="0" applyFont="1" applyBorder="1" applyAlignment="1"/>
    <xf numFmtId="0" fontId="7" fillId="0" borderId="3" xfId="0" applyFont="1" applyBorder="1" applyAlignment="1"/>
    <xf numFmtId="3" fontId="7" fillId="3" borderId="5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3" borderId="3" xfId="0" applyFont="1" applyFill="1" applyBorder="1"/>
    <xf numFmtId="0" fontId="4" fillId="3" borderId="3" xfId="0" applyFont="1" applyFill="1" applyBorder="1" applyAlignment="1"/>
    <xf numFmtId="0" fontId="4" fillId="3" borderId="4" xfId="0" applyFont="1" applyFill="1" applyBorder="1" applyAlignment="1"/>
    <xf numFmtId="3" fontId="4" fillId="3" borderId="5" xfId="1" applyNumberFormat="1" applyFont="1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/>
    </xf>
    <xf numFmtId="3" fontId="4" fillId="0" borderId="5" xfId="0" applyNumberFormat="1" applyFont="1" applyFill="1" applyBorder="1" applyAlignment="1">
      <alignment horizontal="center"/>
    </xf>
    <xf numFmtId="166" fontId="4" fillId="3" borderId="5" xfId="1" applyNumberFormat="1" applyFont="1" applyFill="1" applyBorder="1" applyAlignment="1"/>
    <xf numFmtId="3" fontId="4" fillId="0" borderId="8" xfId="0" applyNumberFormat="1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168" fontId="4" fillId="0" borderId="5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3" fontId="7" fillId="3" borderId="5" xfId="1" applyNumberFormat="1" applyFont="1" applyFill="1" applyBorder="1" applyAlignment="1">
      <alignment horizontal="center"/>
    </xf>
    <xf numFmtId="3" fontId="4" fillId="3" borderId="32" xfId="1" applyNumberFormat="1" applyFont="1" applyFill="1" applyBorder="1" applyAlignment="1">
      <alignment horizontal="center" vertical="center"/>
    </xf>
    <xf numFmtId="3" fontId="4" fillId="2" borderId="21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9" fontId="12" fillId="0" borderId="5" xfId="2" applyFont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9" fontId="4" fillId="0" borderId="5" xfId="2" applyFont="1" applyFill="1" applyBorder="1" applyAlignment="1">
      <alignment horizontal="center" vertical="center" wrapText="1"/>
    </xf>
    <xf numFmtId="0" fontId="7" fillId="0" borderId="0" xfId="0" applyFont="1" applyFill="1" applyBorder="1" applyAlignment="1"/>
    <xf numFmtId="0" fontId="4" fillId="0" borderId="0" xfId="0" applyFont="1" applyBorder="1" applyAlignment="1"/>
    <xf numFmtId="0" fontId="4" fillId="0" borderId="5" xfId="0" applyFont="1" applyFill="1" applyBorder="1" applyAlignment="1">
      <alignment horizontal="left"/>
    </xf>
    <xf numFmtId="1" fontId="4" fillId="0" borderId="5" xfId="0" applyNumberFormat="1" applyFont="1" applyFill="1" applyBorder="1" applyAlignment="1">
      <alignment horizontal="center"/>
    </xf>
    <xf numFmtId="2" fontId="7" fillId="0" borderId="5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Fill="1" applyBorder="1"/>
    <xf numFmtId="0" fontId="7" fillId="0" borderId="0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2" borderId="0" xfId="0" applyFont="1" applyFill="1"/>
    <xf numFmtId="0" fontId="6" fillId="2" borderId="3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/>
    </xf>
    <xf numFmtId="0" fontId="7" fillId="2" borderId="4" xfId="0" applyFont="1" applyFill="1" applyBorder="1"/>
    <xf numFmtId="3" fontId="4" fillId="2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center" vertical="center"/>
    </xf>
    <xf numFmtId="3" fontId="4" fillId="2" borderId="15" xfId="0" applyNumberFormat="1" applyFont="1" applyFill="1" applyBorder="1" applyAlignment="1">
      <alignment horizontal="center"/>
    </xf>
    <xf numFmtId="17" fontId="4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17" fontId="4" fillId="2" borderId="5" xfId="0" applyNumberFormat="1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3" fontId="9" fillId="2" borderId="4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9" fontId="7" fillId="2" borderId="5" xfId="0" applyNumberFormat="1" applyFont="1" applyFill="1" applyBorder="1" applyAlignment="1">
      <alignment horizontal="center"/>
    </xf>
    <xf numFmtId="0" fontId="4" fillId="2" borderId="21" xfId="0" applyFont="1" applyFill="1" applyBorder="1"/>
    <xf numFmtId="3" fontId="4" fillId="2" borderId="21" xfId="0" applyNumberFormat="1" applyFont="1" applyFill="1" applyBorder="1" applyAlignment="1">
      <alignment horizontal="center" vertical="center"/>
    </xf>
    <xf numFmtId="4" fontId="4" fillId="2" borderId="21" xfId="1" applyNumberFormat="1" applyFont="1" applyFill="1" applyBorder="1" applyAlignment="1">
      <alignment horizontal="center"/>
    </xf>
    <xf numFmtId="166" fontId="4" fillId="2" borderId="21" xfId="1" applyNumberFormat="1" applyFont="1" applyFill="1" applyBorder="1" applyAlignment="1">
      <alignment horizontal="right"/>
    </xf>
    <xf numFmtId="2" fontId="4" fillId="2" borderId="21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2" fontId="4" fillId="3" borderId="49" xfId="0" applyNumberFormat="1" applyFont="1" applyFill="1" applyBorder="1" applyAlignment="1">
      <alignment vertical="center"/>
    </xf>
    <xf numFmtId="3" fontId="4" fillId="3" borderId="8" xfId="0" applyNumberFormat="1" applyFont="1" applyFill="1" applyBorder="1" applyAlignment="1">
      <alignment horizontal="center"/>
    </xf>
    <xf numFmtId="3" fontId="4" fillId="3" borderId="8" xfId="1" applyNumberFormat="1" applyFont="1" applyFill="1" applyBorder="1" applyAlignment="1">
      <alignment horizontal="center"/>
    </xf>
    <xf numFmtId="0" fontId="4" fillId="3" borderId="8" xfId="1" applyNumberFormat="1" applyFont="1" applyFill="1" applyBorder="1" applyAlignment="1">
      <alignment horizontal="center"/>
    </xf>
    <xf numFmtId="165" fontId="6" fillId="2" borderId="5" xfId="0" applyNumberFormat="1" applyFont="1" applyFill="1" applyBorder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169" fontId="4" fillId="2" borderId="5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/>
    <xf numFmtId="0" fontId="7" fillId="3" borderId="0" xfId="0" applyFont="1" applyFill="1"/>
    <xf numFmtId="0" fontId="14" fillId="0" borderId="5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/>
    <xf numFmtId="0" fontId="5" fillId="0" borderId="0" xfId="0" applyFont="1" applyBorder="1"/>
    <xf numFmtId="0" fontId="6" fillId="2" borderId="12" xfId="0" applyFont="1" applyFill="1" applyBorder="1"/>
    <xf numFmtId="0" fontId="7" fillId="2" borderId="2" xfId="0" applyFont="1" applyFill="1" applyBorder="1"/>
    <xf numFmtId="4" fontId="7" fillId="3" borderId="5" xfId="0" applyNumberFormat="1" applyFont="1" applyFill="1" applyBorder="1" applyAlignment="1">
      <alignment horizontal="center"/>
    </xf>
    <xf numFmtId="2" fontId="7" fillId="3" borderId="5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left"/>
    </xf>
    <xf numFmtId="3" fontId="7" fillId="3" borderId="14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vertical="center"/>
    </xf>
    <xf numFmtId="166" fontId="4" fillId="0" borderId="8" xfId="1" applyNumberFormat="1" applyFont="1" applyFill="1" applyBorder="1" applyAlignment="1">
      <alignment horizontal="center"/>
    </xf>
    <xf numFmtId="4" fontId="14" fillId="3" borderId="5" xfId="1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3" fontId="7" fillId="0" borderId="5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7" fillId="0" borderId="8" xfId="0" applyFont="1" applyBorder="1"/>
    <xf numFmtId="14" fontId="7" fillId="0" borderId="5" xfId="0" applyNumberFormat="1" applyFont="1" applyFill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164" fontId="5" fillId="0" borderId="0" xfId="3" applyFont="1"/>
    <xf numFmtId="14" fontId="4" fillId="0" borderId="14" xfId="0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14" fontId="7" fillId="0" borderId="6" xfId="0" applyNumberFormat="1" applyFont="1" applyBorder="1" applyAlignment="1">
      <alignment horizontal="left"/>
    </xf>
    <xf numFmtId="14" fontId="7" fillId="0" borderId="3" xfId="0" applyNumberFormat="1" applyFont="1" applyBorder="1" applyAlignment="1">
      <alignment horizontal="left"/>
    </xf>
    <xf numFmtId="14" fontId="7" fillId="0" borderId="4" xfId="0" applyNumberFormat="1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4" fillId="0" borderId="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10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1" xfId="0" applyFont="1" applyBorder="1" applyAlignment="1">
      <alignment horizontal="left" vertical="top"/>
    </xf>
    <xf numFmtId="0" fontId="7" fillId="0" borderId="42" xfId="0" applyFont="1" applyBorder="1" applyAlignment="1">
      <alignment horizontal="left" vertical="top"/>
    </xf>
    <xf numFmtId="0" fontId="7" fillId="0" borderId="43" xfId="0" applyFont="1" applyBorder="1" applyAlignment="1">
      <alignment horizontal="left" vertical="top"/>
    </xf>
    <xf numFmtId="0" fontId="13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14" fontId="4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66" fontId="4" fillId="2" borderId="37" xfId="1" applyNumberFormat="1" applyFont="1" applyFill="1" applyBorder="1" applyAlignment="1"/>
    <xf numFmtId="166" fontId="4" fillId="2" borderId="39" xfId="1" applyNumberFormat="1" applyFont="1" applyFill="1" applyBorder="1" applyAlignment="1"/>
    <xf numFmtId="0" fontId="9" fillId="0" borderId="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6" fontId="4" fillId="2" borderId="5" xfId="1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166" fontId="7" fillId="3" borderId="6" xfId="1" applyNumberFormat="1" applyFont="1" applyFill="1" applyBorder="1" applyAlignment="1">
      <alignment horizontal="center" vertical="center"/>
    </xf>
    <xf numFmtId="166" fontId="7" fillId="3" borderId="4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13" xfId="0" applyFont="1" applyFill="1" applyBorder="1"/>
    <xf numFmtId="0" fontId="4" fillId="0" borderId="0" xfId="0" applyFont="1" applyFill="1" applyBorder="1"/>
    <xf numFmtId="0" fontId="4" fillId="0" borderId="31" xfId="0" applyFont="1" applyFill="1" applyBorder="1"/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7" fillId="0" borderId="45" xfId="0" applyFont="1" applyBorder="1" applyAlignment="1">
      <alignment horizontal="left" vertical="top" wrapText="1"/>
    </xf>
    <xf numFmtId="0" fontId="7" fillId="0" borderId="46" xfId="0" applyFont="1" applyBorder="1" applyAlignment="1">
      <alignment horizontal="left" vertical="top" wrapText="1"/>
    </xf>
    <xf numFmtId="0" fontId="7" fillId="0" borderId="47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166" fontId="7" fillId="3" borderId="6" xfId="1" applyNumberFormat="1" applyFont="1" applyFill="1" applyBorder="1" applyAlignment="1">
      <alignment horizontal="center"/>
    </xf>
    <xf numFmtId="166" fontId="7" fillId="3" borderId="4" xfId="1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16" xfId="0" applyFont="1" applyBorder="1" applyAlignment="1">
      <alignment horizontal="left" vertical="top"/>
    </xf>
    <xf numFmtId="0" fontId="7" fillId="0" borderId="44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12" xfId="0" applyFont="1" applyFill="1" applyBorder="1" applyAlignment="1"/>
    <xf numFmtId="0" fontId="7" fillId="0" borderId="5" xfId="0" applyFont="1" applyFill="1" applyBorder="1" applyAlignment="1"/>
    <xf numFmtId="0" fontId="7" fillId="0" borderId="8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</cellXfs>
  <cellStyles count="4">
    <cellStyle name="Milliers" xfId="1" builtinId="3"/>
    <cellStyle name="Milliers [0]" xfId="3" builtinId="6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476250</xdr:colOff>
          <xdr:row>0</xdr:row>
          <xdr:rowOff>38100</xdr:rowOff>
        </xdr:from>
        <xdr:to>
          <xdr:col>5</xdr:col>
          <xdr:colOff>990600</xdr:colOff>
          <xdr:row>1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65"/>
  <sheetViews>
    <sheetView tabSelected="1" zoomScale="110" zoomScaleNormal="110" workbookViewId="0">
      <selection activeCell="F168" sqref="F168"/>
    </sheetView>
  </sheetViews>
  <sheetFormatPr baseColWidth="10" defaultColWidth="11.5703125" defaultRowHeight="12.75" x14ac:dyDescent="0.2"/>
  <cols>
    <col min="1" max="1" width="31.140625" style="2" customWidth="1"/>
    <col min="2" max="2" width="18" style="2" customWidth="1"/>
    <col min="3" max="3" width="14.7109375" style="2" customWidth="1"/>
    <col min="4" max="4" width="16.140625" style="2" customWidth="1"/>
    <col min="5" max="5" width="14" style="2" customWidth="1"/>
    <col min="6" max="6" width="18.5703125" style="2" customWidth="1"/>
    <col min="7" max="7" width="7.42578125" style="2" customWidth="1"/>
    <col min="8" max="8" width="12.42578125" style="2" bestFit="1" customWidth="1"/>
    <col min="9" max="16384" width="11.5703125" style="2"/>
  </cols>
  <sheetData>
    <row r="1" spans="1:13" ht="39" customHeight="1" x14ac:dyDescent="0.2">
      <c r="A1" s="195" t="s">
        <v>63</v>
      </c>
      <c r="B1" s="195"/>
      <c r="C1" s="195"/>
      <c r="D1" s="195"/>
      <c r="E1" s="195"/>
      <c r="F1" s="195"/>
    </row>
    <row r="2" spans="1:13" s="17" customFormat="1" ht="15" customHeight="1" x14ac:dyDescent="0.25">
      <c r="A2" s="30"/>
      <c r="B2" s="107" t="s">
        <v>122</v>
      </c>
      <c r="C2" s="31"/>
      <c r="D2" s="196" t="s">
        <v>172</v>
      </c>
      <c r="E2" s="222"/>
      <c r="F2" s="197"/>
    </row>
    <row r="3" spans="1:13" s="17" customFormat="1" ht="15" customHeight="1" thickBot="1" x14ac:dyDescent="0.3">
      <c r="A3" s="172" t="s">
        <v>173</v>
      </c>
      <c r="B3" s="219"/>
      <c r="C3" s="220"/>
      <c r="D3" s="220"/>
      <c r="E3" s="220"/>
      <c r="F3" s="221"/>
    </row>
    <row r="4" spans="1:13" ht="15.75" customHeight="1" thickBot="1" x14ac:dyDescent="0.25">
      <c r="A4" s="248" t="s">
        <v>0</v>
      </c>
      <c r="B4" s="249"/>
      <c r="C4" s="249"/>
      <c r="D4" s="249"/>
      <c r="E4" s="249"/>
      <c r="F4" s="250"/>
    </row>
    <row r="5" spans="1:13" ht="14.25" customHeight="1" x14ac:dyDescent="0.25">
      <c r="A5" s="312" t="s">
        <v>119</v>
      </c>
      <c r="B5" s="208"/>
      <c r="C5" s="209"/>
      <c r="D5" s="209"/>
      <c r="E5" s="209"/>
      <c r="F5" s="210"/>
    </row>
    <row r="6" spans="1:13" ht="14.25" customHeight="1" x14ac:dyDescent="0.25">
      <c r="A6" s="313" t="s">
        <v>76</v>
      </c>
      <c r="B6" s="177"/>
      <c r="C6" s="178"/>
      <c r="D6" s="178"/>
      <c r="E6" s="178"/>
      <c r="F6" s="179"/>
    </row>
    <row r="7" spans="1:13" ht="14.25" customHeight="1" x14ac:dyDescent="0.25">
      <c r="A7" s="313" t="s">
        <v>118</v>
      </c>
      <c r="B7" s="177"/>
      <c r="C7" s="178"/>
      <c r="D7" s="178"/>
      <c r="E7" s="178"/>
      <c r="F7" s="179"/>
    </row>
    <row r="8" spans="1:13" ht="14.25" customHeight="1" x14ac:dyDescent="0.25">
      <c r="A8" s="313" t="s">
        <v>131</v>
      </c>
      <c r="B8" s="174"/>
      <c r="C8" s="175"/>
      <c r="D8" s="175"/>
      <c r="E8" s="175"/>
      <c r="F8" s="176"/>
    </row>
    <row r="9" spans="1:13" ht="14.25" customHeight="1" x14ac:dyDescent="0.25">
      <c r="A9" s="313" t="s">
        <v>137</v>
      </c>
      <c r="B9" s="174"/>
      <c r="C9" s="175"/>
      <c r="D9" s="175"/>
      <c r="E9" s="175"/>
      <c r="F9" s="176"/>
    </row>
    <row r="10" spans="1:13" ht="14.25" customHeight="1" x14ac:dyDescent="0.25">
      <c r="A10" s="313" t="s">
        <v>138</v>
      </c>
      <c r="B10" s="177"/>
      <c r="C10" s="178"/>
      <c r="D10" s="178"/>
      <c r="E10" s="178"/>
      <c r="F10" s="179"/>
    </row>
    <row r="11" spans="1:13" ht="14.25" customHeight="1" x14ac:dyDescent="0.25">
      <c r="A11" s="313" t="s">
        <v>75</v>
      </c>
      <c r="B11" s="177"/>
      <c r="C11" s="178"/>
      <c r="D11" s="178"/>
      <c r="E11" s="178"/>
      <c r="F11" s="179"/>
      <c r="M11" s="2" t="s">
        <v>141</v>
      </c>
    </row>
    <row r="12" spans="1:13" ht="14.25" customHeight="1" x14ac:dyDescent="0.25">
      <c r="A12" s="313" t="s">
        <v>98</v>
      </c>
      <c r="B12" s="177"/>
      <c r="C12" s="178"/>
      <c r="D12" s="178"/>
      <c r="E12" s="178"/>
      <c r="F12" s="179"/>
    </row>
    <row r="13" spans="1:13" ht="14.25" customHeight="1" x14ac:dyDescent="0.25">
      <c r="A13" s="313" t="s">
        <v>115</v>
      </c>
      <c r="B13" s="177"/>
      <c r="C13" s="179"/>
      <c r="D13" s="107"/>
      <c r="E13" s="177"/>
      <c r="F13" s="179"/>
    </row>
    <row r="14" spans="1:13" ht="14.25" customHeight="1" x14ac:dyDescent="0.25">
      <c r="A14" s="313" t="s">
        <v>55</v>
      </c>
      <c r="B14" s="177"/>
      <c r="C14" s="178"/>
      <c r="D14" s="178"/>
      <c r="E14" s="178"/>
      <c r="F14" s="179"/>
    </row>
    <row r="15" spans="1:13" ht="14.25" customHeight="1" x14ac:dyDescent="0.25">
      <c r="A15" s="313" t="s">
        <v>100</v>
      </c>
      <c r="B15" s="177"/>
      <c r="C15" s="178"/>
      <c r="D15" s="178"/>
      <c r="E15" s="178"/>
      <c r="F15" s="179"/>
    </row>
    <row r="16" spans="1:13" ht="11.25" customHeight="1" x14ac:dyDescent="0.25">
      <c r="A16" s="202"/>
      <c r="B16" s="203"/>
      <c r="C16" s="203"/>
      <c r="D16" s="203"/>
      <c r="E16" s="203"/>
      <c r="F16" s="203"/>
    </row>
    <row r="17" spans="1:6" ht="15" customHeight="1" x14ac:dyDescent="0.25">
      <c r="A17" s="206" t="s">
        <v>174</v>
      </c>
      <c r="B17" s="207"/>
      <c r="C17" s="243" t="s">
        <v>175</v>
      </c>
      <c r="D17" s="281"/>
      <c r="E17" s="281"/>
      <c r="F17" s="282"/>
    </row>
    <row r="18" spans="1:6" ht="15" customHeight="1" x14ac:dyDescent="0.25">
      <c r="A18" s="88" t="s">
        <v>1</v>
      </c>
      <c r="B18" s="21" t="s">
        <v>2</v>
      </c>
      <c r="C18" s="204" t="s">
        <v>3</v>
      </c>
      <c r="D18" s="246"/>
      <c r="E18" s="204" t="s">
        <v>99</v>
      </c>
      <c r="F18" s="246"/>
    </row>
    <row r="19" spans="1:6" s="17" customFormat="1" ht="15" customHeight="1" x14ac:dyDescent="0.25">
      <c r="A19" s="169"/>
      <c r="B19" s="33"/>
      <c r="C19" s="211"/>
      <c r="D19" s="212"/>
      <c r="E19" s="196"/>
      <c r="F19" s="197"/>
    </row>
    <row r="20" spans="1:6" s="17" customFormat="1" ht="15" customHeight="1" x14ac:dyDescent="0.25">
      <c r="A20" s="169"/>
      <c r="B20" s="36"/>
      <c r="C20" s="211"/>
      <c r="D20" s="212"/>
      <c r="E20" s="196"/>
      <c r="F20" s="197"/>
    </row>
    <row r="21" spans="1:6" s="17" customFormat="1" ht="15" customHeight="1" x14ac:dyDescent="0.25">
      <c r="A21" s="170"/>
      <c r="B21" s="37"/>
      <c r="C21" s="211"/>
      <c r="D21" s="212"/>
      <c r="E21" s="196"/>
      <c r="F21" s="197"/>
    </row>
    <row r="22" spans="1:6" s="17" customFormat="1" ht="15" customHeight="1" x14ac:dyDescent="0.25">
      <c r="A22" s="170"/>
      <c r="B22" s="37"/>
      <c r="C22" s="211"/>
      <c r="D22" s="212"/>
      <c r="E22" s="286"/>
      <c r="F22" s="287"/>
    </row>
    <row r="23" spans="1:6" s="17" customFormat="1" ht="15.75" customHeight="1" thickBot="1" x14ac:dyDescent="0.3">
      <c r="A23" s="96"/>
      <c r="B23" s="96"/>
      <c r="C23" s="96"/>
      <c r="D23" s="96"/>
      <c r="E23" s="96"/>
      <c r="F23" s="96"/>
    </row>
    <row r="24" spans="1:6" ht="15" customHeight="1" thickBot="1" x14ac:dyDescent="0.25">
      <c r="A24" s="248" t="s">
        <v>4</v>
      </c>
      <c r="B24" s="249"/>
      <c r="C24" s="249"/>
      <c r="D24" s="249"/>
      <c r="E24" s="249"/>
      <c r="F24" s="250"/>
    </row>
    <row r="25" spans="1:6" s="17" customFormat="1" ht="15.75" customHeight="1" x14ac:dyDescent="0.25">
      <c r="A25" s="213"/>
      <c r="B25" s="214"/>
      <c r="C25" s="214"/>
      <c r="D25" s="214"/>
      <c r="E25" s="214"/>
      <c r="F25" s="215"/>
    </row>
    <row r="26" spans="1:6" s="17" customFormat="1" ht="18.75" customHeight="1" thickBot="1" x14ac:dyDescent="0.3">
      <c r="A26" s="216"/>
      <c r="B26" s="217"/>
      <c r="C26" s="217"/>
      <c r="D26" s="217"/>
      <c r="E26" s="217"/>
      <c r="F26" s="218"/>
    </row>
    <row r="27" spans="1:6" s="17" customFormat="1" ht="15.75" customHeight="1" thickBot="1" x14ac:dyDescent="0.3">
      <c r="A27" s="110"/>
      <c r="B27" s="110"/>
      <c r="C27" s="110"/>
      <c r="D27" s="110"/>
      <c r="E27" s="110"/>
      <c r="F27" s="110"/>
    </row>
    <row r="28" spans="1:6" s="17" customFormat="1" ht="13.5" customHeight="1" thickBot="1" x14ac:dyDescent="0.3">
      <c r="A28" s="248" t="s">
        <v>5</v>
      </c>
      <c r="B28" s="249"/>
      <c r="C28" s="249"/>
      <c r="D28" s="249"/>
      <c r="E28" s="249"/>
      <c r="F28" s="250"/>
    </row>
    <row r="29" spans="1:6" s="17" customFormat="1" ht="13.5" customHeight="1" x14ac:dyDescent="0.25">
      <c r="A29" s="274" t="s">
        <v>6</v>
      </c>
      <c r="B29" s="275"/>
      <c r="C29" s="166" t="s">
        <v>7</v>
      </c>
      <c r="D29" s="167" t="s">
        <v>8</v>
      </c>
      <c r="E29" s="168"/>
      <c r="F29" s="166" t="s">
        <v>2</v>
      </c>
    </row>
    <row r="30" spans="1:6" s="17" customFormat="1" ht="13.5" customHeight="1" x14ac:dyDescent="0.25">
      <c r="A30" s="177" t="s">
        <v>109</v>
      </c>
      <c r="B30" s="179"/>
      <c r="C30" s="37"/>
      <c r="D30" s="39" t="s">
        <v>64</v>
      </c>
      <c r="E30" s="35"/>
      <c r="F30" s="91"/>
    </row>
    <row r="31" spans="1:6" s="17" customFormat="1" ht="13.5" customHeight="1" x14ac:dyDescent="0.25">
      <c r="A31" s="177" t="s">
        <v>85</v>
      </c>
      <c r="B31" s="179"/>
      <c r="C31" s="37"/>
      <c r="D31" s="34" t="s">
        <v>49</v>
      </c>
      <c r="E31" s="39"/>
      <c r="F31" s="165"/>
    </row>
    <row r="32" spans="1:6" s="17" customFormat="1" ht="13.5" customHeight="1" x14ac:dyDescent="0.25">
      <c r="A32" s="198" t="s">
        <v>65</v>
      </c>
      <c r="B32" s="199"/>
      <c r="C32" s="37"/>
      <c r="D32" s="34" t="s">
        <v>110</v>
      </c>
      <c r="E32" s="39"/>
      <c r="F32" s="37"/>
    </row>
    <row r="33" spans="1:6" s="17" customFormat="1" ht="13.5" customHeight="1" x14ac:dyDescent="0.25">
      <c r="A33" s="200"/>
      <c r="B33" s="201"/>
      <c r="C33" s="204" t="s">
        <v>9</v>
      </c>
      <c r="D33" s="205"/>
      <c r="E33" s="205"/>
      <c r="F33" s="40"/>
    </row>
    <row r="34" spans="1:6" s="17" customFormat="1" ht="9" customHeight="1" thickBot="1" x14ac:dyDescent="0.3">
      <c r="A34" s="290"/>
      <c r="B34" s="290"/>
      <c r="C34" s="291"/>
      <c r="D34" s="291"/>
      <c r="E34" s="291"/>
      <c r="F34" s="291"/>
    </row>
    <row r="35" spans="1:6" ht="15" customHeight="1" thickBot="1" x14ac:dyDescent="0.25">
      <c r="A35" s="248" t="s">
        <v>10</v>
      </c>
      <c r="B35" s="249"/>
      <c r="C35" s="249"/>
      <c r="D35" s="249"/>
      <c r="E35" s="249"/>
      <c r="F35" s="250"/>
    </row>
    <row r="36" spans="1:6" ht="18" customHeight="1" x14ac:dyDescent="0.2">
      <c r="A36" s="180" t="s">
        <v>58</v>
      </c>
      <c r="B36" s="186"/>
      <c r="C36" s="187"/>
      <c r="D36" s="187"/>
      <c r="E36" s="187"/>
      <c r="F36" s="188"/>
    </row>
    <row r="37" spans="1:6" ht="18" customHeight="1" x14ac:dyDescent="0.2">
      <c r="A37" s="180"/>
      <c r="B37" s="186"/>
      <c r="C37" s="187"/>
      <c r="D37" s="187"/>
      <c r="E37" s="187"/>
      <c r="F37" s="188"/>
    </row>
    <row r="38" spans="1:6" ht="18" customHeight="1" x14ac:dyDescent="0.2">
      <c r="A38" s="180"/>
      <c r="B38" s="186"/>
      <c r="C38" s="187"/>
      <c r="D38" s="187"/>
      <c r="E38" s="187"/>
      <c r="F38" s="188"/>
    </row>
    <row r="39" spans="1:6" ht="29.25" customHeight="1" x14ac:dyDescent="0.2">
      <c r="A39" s="180"/>
      <c r="B39" s="186"/>
      <c r="C39" s="187"/>
      <c r="D39" s="187"/>
      <c r="E39" s="187"/>
      <c r="F39" s="188"/>
    </row>
    <row r="40" spans="1:6" ht="14.25" customHeight="1" x14ac:dyDescent="0.2">
      <c r="A40" s="309" t="s">
        <v>40</v>
      </c>
      <c r="B40" s="183"/>
      <c r="C40" s="184"/>
      <c r="D40" s="184"/>
      <c r="E40" s="184"/>
      <c r="F40" s="185"/>
    </row>
    <row r="41" spans="1:6" ht="14.25" customHeight="1" x14ac:dyDescent="0.25">
      <c r="A41" s="38" t="s">
        <v>108</v>
      </c>
      <c r="B41" s="177"/>
      <c r="C41" s="178"/>
      <c r="D41" s="178"/>
      <c r="E41" s="178"/>
      <c r="F41" s="179"/>
    </row>
    <row r="42" spans="1:6" ht="14.25" customHeight="1" x14ac:dyDescent="0.25">
      <c r="A42" s="38" t="s">
        <v>116</v>
      </c>
      <c r="B42" s="177"/>
      <c r="C42" s="178"/>
      <c r="D42" s="178"/>
      <c r="E42" s="178"/>
      <c r="F42" s="179"/>
    </row>
    <row r="43" spans="1:6" ht="14.25" customHeight="1" x14ac:dyDescent="0.25">
      <c r="A43" s="38" t="s">
        <v>12</v>
      </c>
      <c r="B43" s="177"/>
      <c r="C43" s="178"/>
      <c r="D43" s="178"/>
      <c r="E43" s="178"/>
      <c r="F43" s="179"/>
    </row>
    <row r="44" spans="1:6" ht="14.25" customHeight="1" x14ac:dyDescent="0.2">
      <c r="A44" s="310" t="s">
        <v>11</v>
      </c>
      <c r="B44" s="183"/>
      <c r="C44" s="184"/>
      <c r="D44" s="184"/>
      <c r="E44" s="184"/>
      <c r="F44" s="185"/>
    </row>
    <row r="45" spans="1:6" ht="14.25" customHeight="1" x14ac:dyDescent="0.2">
      <c r="A45" s="311" t="s">
        <v>83</v>
      </c>
      <c r="B45" s="189"/>
      <c r="C45" s="189"/>
      <c r="D45" s="189"/>
      <c r="E45" s="189"/>
      <c r="F45" s="189"/>
    </row>
    <row r="46" spans="1:6" ht="14.25" customHeight="1" x14ac:dyDescent="0.2">
      <c r="A46" s="190"/>
      <c r="B46" s="190"/>
      <c r="C46" s="190"/>
      <c r="D46" s="190"/>
      <c r="E46" s="190"/>
      <c r="F46" s="191"/>
    </row>
    <row r="47" spans="1:6" ht="14.25" customHeight="1" x14ac:dyDescent="0.2">
      <c r="A47" s="114" t="s">
        <v>13</v>
      </c>
      <c r="B47" s="181"/>
      <c r="C47" s="181"/>
      <c r="D47" s="181"/>
      <c r="E47" s="181"/>
      <c r="F47" s="182"/>
    </row>
    <row r="48" spans="1:6" s="17" customFormat="1" ht="14.25" customHeight="1" x14ac:dyDescent="0.25">
      <c r="A48" s="314" t="s">
        <v>132</v>
      </c>
      <c r="B48" s="178"/>
      <c r="C48" s="209"/>
      <c r="D48" s="209"/>
      <c r="E48" s="209"/>
      <c r="F48" s="179"/>
    </row>
    <row r="49" spans="1:10" s="17" customFormat="1" ht="14.25" customHeight="1" x14ac:dyDescent="0.25">
      <c r="A49" s="315" t="s">
        <v>104</v>
      </c>
      <c r="B49" s="178"/>
      <c r="C49" s="178"/>
      <c r="D49" s="178"/>
      <c r="E49" s="178"/>
      <c r="F49" s="179"/>
    </row>
    <row r="50" spans="1:10" s="17" customFormat="1" ht="14.25" customHeight="1" x14ac:dyDescent="0.25">
      <c r="A50" s="315" t="s">
        <v>106</v>
      </c>
      <c r="B50" s="178"/>
      <c r="C50" s="178"/>
      <c r="D50" s="178"/>
      <c r="E50" s="178"/>
      <c r="F50" s="179"/>
    </row>
    <row r="51" spans="1:10" s="17" customFormat="1" ht="14.25" customHeight="1" x14ac:dyDescent="0.25">
      <c r="A51" s="315" t="s">
        <v>105</v>
      </c>
      <c r="B51" s="178"/>
      <c r="C51" s="178"/>
      <c r="D51" s="178"/>
      <c r="E51" s="178"/>
      <c r="F51" s="179"/>
    </row>
    <row r="52" spans="1:10" s="17" customFormat="1" ht="14.25" customHeight="1" x14ac:dyDescent="0.25">
      <c r="A52" s="90"/>
      <c r="B52" s="111"/>
      <c r="C52" s="111"/>
      <c r="D52" s="111"/>
      <c r="E52" s="111"/>
      <c r="F52" s="112"/>
    </row>
    <row r="53" spans="1:10" ht="14.25" customHeight="1" x14ac:dyDescent="0.25">
      <c r="A53" s="115" t="s">
        <v>14</v>
      </c>
      <c r="B53" s="43"/>
      <c r="C53" s="41"/>
      <c r="D53" s="41"/>
      <c r="E53" s="41"/>
      <c r="F53" s="5"/>
    </row>
    <row r="54" spans="1:10" ht="15.75" customHeight="1" x14ac:dyDescent="0.2">
      <c r="A54" s="316" t="s">
        <v>41</v>
      </c>
      <c r="B54" s="300"/>
      <c r="C54" s="301"/>
      <c r="D54" s="301"/>
      <c r="E54" s="301"/>
      <c r="F54" s="302"/>
    </row>
    <row r="55" spans="1:10" ht="14.25" customHeight="1" x14ac:dyDescent="0.25">
      <c r="A55" s="315" t="s">
        <v>107</v>
      </c>
      <c r="B55" s="236"/>
      <c r="C55" s="237"/>
      <c r="D55" s="237"/>
      <c r="E55" s="237"/>
      <c r="F55" s="238"/>
    </row>
    <row r="56" spans="1:10" ht="14.25" customHeight="1" x14ac:dyDescent="0.25">
      <c r="A56" s="315" t="s">
        <v>15</v>
      </c>
      <c r="B56" s="177"/>
      <c r="C56" s="178"/>
      <c r="D56" s="178"/>
      <c r="E56" s="178"/>
      <c r="F56" s="179"/>
    </row>
    <row r="57" spans="1:10" ht="14.25" customHeight="1" x14ac:dyDescent="0.25">
      <c r="A57" s="315" t="s">
        <v>16</v>
      </c>
      <c r="B57" s="177"/>
      <c r="C57" s="178"/>
      <c r="D57" s="178"/>
      <c r="E57" s="178"/>
      <c r="F57" s="179"/>
    </row>
    <row r="58" spans="1:10" ht="14.25" customHeight="1" x14ac:dyDescent="0.25">
      <c r="A58" s="315" t="s">
        <v>17</v>
      </c>
      <c r="B58" s="177"/>
      <c r="C58" s="178"/>
      <c r="D58" s="178"/>
      <c r="E58" s="178"/>
      <c r="F58" s="179"/>
      <c r="J58" s="147"/>
    </row>
    <row r="59" spans="1:10" ht="14.25" customHeight="1" thickBot="1" x14ac:dyDescent="0.3">
      <c r="A59" s="79"/>
      <c r="B59" s="112"/>
      <c r="C59" s="112"/>
      <c r="D59" s="112"/>
      <c r="E59" s="112"/>
      <c r="F59" s="112"/>
    </row>
    <row r="60" spans="1:10" ht="17.25" customHeight="1" thickTop="1" thickBot="1" x14ac:dyDescent="0.3">
      <c r="A60" s="4"/>
      <c r="B60" s="223" t="s">
        <v>168</v>
      </c>
      <c r="C60" s="224"/>
      <c r="D60" s="224"/>
      <c r="E60" s="225"/>
      <c r="F60" s="4"/>
    </row>
    <row r="61" spans="1:10" ht="18" customHeight="1" thickTop="1" x14ac:dyDescent="0.25">
      <c r="A61" s="295" t="s">
        <v>18</v>
      </c>
      <c r="B61" s="303"/>
      <c r="C61" s="296"/>
      <c r="D61" s="295" t="s">
        <v>19</v>
      </c>
      <c r="E61" s="303"/>
      <c r="F61" s="296"/>
    </row>
    <row r="62" spans="1:10" s="17" customFormat="1" ht="17.25" customHeight="1" x14ac:dyDescent="0.25">
      <c r="A62" s="116" t="s">
        <v>20</v>
      </c>
      <c r="B62" s="117"/>
      <c r="C62" s="118" t="s">
        <v>21</v>
      </c>
      <c r="D62" s="116" t="s">
        <v>20</v>
      </c>
      <c r="E62" s="117"/>
      <c r="F62" s="119" t="s">
        <v>21</v>
      </c>
    </row>
    <row r="63" spans="1:10" s="17" customFormat="1" ht="17.25" customHeight="1" x14ac:dyDescent="0.25">
      <c r="A63" s="34" t="s">
        <v>129</v>
      </c>
      <c r="B63" s="35"/>
      <c r="C63" s="36"/>
      <c r="D63" s="34" t="s">
        <v>25</v>
      </c>
      <c r="E63" s="35"/>
      <c r="F63" s="38"/>
    </row>
    <row r="64" spans="1:10" s="17" customFormat="1" ht="17.25" customHeight="1" x14ac:dyDescent="0.25">
      <c r="A64" s="34" t="s">
        <v>170</v>
      </c>
      <c r="B64" s="35"/>
      <c r="C64" s="36"/>
      <c r="D64" s="34" t="s">
        <v>44</v>
      </c>
      <c r="E64" s="35"/>
      <c r="F64" s="37"/>
    </row>
    <row r="65" spans="1:9" s="17" customFormat="1" ht="17.25" customHeight="1" x14ac:dyDescent="0.25">
      <c r="A65" s="34" t="s">
        <v>26</v>
      </c>
      <c r="B65" s="35"/>
      <c r="C65" s="36"/>
      <c r="D65" s="46" t="s">
        <v>152</v>
      </c>
      <c r="E65" s="35"/>
      <c r="F65" s="40"/>
    </row>
    <row r="66" spans="1:9" s="17" customFormat="1" ht="17.25" customHeight="1" x14ac:dyDescent="0.25">
      <c r="A66" s="251" t="s">
        <v>145</v>
      </c>
      <c r="B66" s="252"/>
      <c r="C66" s="36"/>
      <c r="D66" s="34" t="s">
        <v>46</v>
      </c>
      <c r="E66" s="35"/>
      <c r="F66" s="40"/>
    </row>
    <row r="67" spans="1:9" s="17" customFormat="1" ht="17.25" customHeight="1" x14ac:dyDescent="0.25">
      <c r="A67" s="34" t="s">
        <v>27</v>
      </c>
      <c r="B67" s="35"/>
      <c r="C67" s="36"/>
      <c r="D67" s="34" t="s">
        <v>45</v>
      </c>
      <c r="E67" s="35"/>
      <c r="F67" s="45"/>
    </row>
    <row r="68" spans="1:9" s="17" customFormat="1" ht="17.25" customHeight="1" x14ac:dyDescent="0.25">
      <c r="A68" s="34" t="s">
        <v>81</v>
      </c>
      <c r="B68" s="35"/>
      <c r="C68" s="37"/>
      <c r="E68" s="35"/>
      <c r="F68" s="45"/>
    </row>
    <row r="69" spans="1:9" s="17" customFormat="1" ht="17.25" customHeight="1" x14ac:dyDescent="0.25">
      <c r="A69" s="34" t="s">
        <v>77</v>
      </c>
      <c r="B69" s="35"/>
      <c r="C69" s="44"/>
      <c r="D69" s="34"/>
      <c r="E69" s="35"/>
      <c r="F69" s="45"/>
    </row>
    <row r="70" spans="1:9" s="17" customFormat="1" ht="17.25" customHeight="1" x14ac:dyDescent="0.25">
      <c r="A70" s="34" t="s">
        <v>142</v>
      </c>
      <c r="B70" s="35"/>
      <c r="C70" s="37"/>
      <c r="D70" s="34"/>
      <c r="E70" s="35"/>
      <c r="F70" s="45"/>
    </row>
    <row r="71" spans="1:9" s="17" customFormat="1" ht="17.25" customHeight="1" x14ac:dyDescent="0.25">
      <c r="A71" s="239" t="s">
        <v>66</v>
      </c>
      <c r="B71" s="240"/>
      <c r="C71" s="120">
        <f>SUM(C63:C70)</f>
        <v>0</v>
      </c>
      <c r="D71" s="239" t="s">
        <v>67</v>
      </c>
      <c r="E71" s="240"/>
      <c r="F71" s="118">
        <f>SUM(F64:F70)</f>
        <v>0</v>
      </c>
    </row>
    <row r="72" spans="1:9" s="17" customFormat="1" ht="17.25" customHeight="1" x14ac:dyDescent="0.25">
      <c r="A72" s="34" t="s">
        <v>112</v>
      </c>
      <c r="B72" s="105"/>
      <c r="C72" s="44"/>
      <c r="D72" s="177" t="s">
        <v>103</v>
      </c>
      <c r="E72" s="179"/>
      <c r="F72" s="84"/>
      <c r="H72" s="65"/>
      <c r="I72" s="65"/>
    </row>
    <row r="73" spans="1:9" s="17" customFormat="1" ht="17.25" customHeight="1" x14ac:dyDescent="0.25">
      <c r="A73" s="34" t="s">
        <v>114</v>
      </c>
      <c r="B73" s="105"/>
      <c r="C73" s="78"/>
      <c r="D73" s="34" t="s">
        <v>22</v>
      </c>
      <c r="E73" s="106"/>
      <c r="F73" s="84"/>
      <c r="H73" s="65"/>
      <c r="I73" s="65"/>
    </row>
    <row r="74" spans="1:9" s="17" customFormat="1" ht="17.25" customHeight="1" x14ac:dyDescent="0.25">
      <c r="A74" s="34" t="s">
        <v>144</v>
      </c>
      <c r="B74" s="105"/>
      <c r="C74" s="37"/>
      <c r="D74" s="34" t="s">
        <v>47</v>
      </c>
      <c r="E74" s="106"/>
      <c r="F74" s="84"/>
      <c r="H74" s="65"/>
      <c r="I74" s="65"/>
    </row>
    <row r="75" spans="1:9" s="17" customFormat="1" ht="17.25" customHeight="1" x14ac:dyDescent="0.25">
      <c r="A75" s="34" t="s">
        <v>162</v>
      </c>
      <c r="B75" s="35"/>
      <c r="C75" s="78"/>
      <c r="D75" s="34" t="s">
        <v>45</v>
      </c>
      <c r="E75" s="35"/>
      <c r="F75" s="45"/>
      <c r="H75" s="65"/>
      <c r="I75" s="65"/>
    </row>
    <row r="76" spans="1:9" s="17" customFormat="1" ht="17.25" customHeight="1" x14ac:dyDescent="0.25">
      <c r="A76" s="34" t="s">
        <v>133</v>
      </c>
      <c r="B76" s="35"/>
      <c r="C76" s="85"/>
      <c r="E76" s="35"/>
      <c r="F76" s="45"/>
      <c r="H76" s="65"/>
      <c r="I76" s="65"/>
    </row>
    <row r="77" spans="1:9" s="17" customFormat="1" ht="17.25" customHeight="1" x14ac:dyDescent="0.25">
      <c r="A77" s="34" t="s">
        <v>111</v>
      </c>
      <c r="B77" s="35"/>
      <c r="C77" s="37"/>
      <c r="D77" s="34"/>
      <c r="E77" s="35"/>
      <c r="F77" s="45"/>
    </row>
    <row r="78" spans="1:9" s="17" customFormat="1" ht="17.25" customHeight="1" thickBot="1" x14ac:dyDescent="0.3">
      <c r="A78" s="239" t="s">
        <v>23</v>
      </c>
      <c r="B78" s="240"/>
      <c r="C78" s="118">
        <f>SUM(C72:C77)</f>
        <v>0</v>
      </c>
      <c r="D78" s="239" t="s">
        <v>24</v>
      </c>
      <c r="E78" s="240"/>
      <c r="F78" s="121">
        <f>SUM(F72:F77)</f>
        <v>0</v>
      </c>
    </row>
    <row r="79" spans="1:9" s="17" customFormat="1" ht="17.25" customHeight="1" thickTop="1" thickBot="1" x14ac:dyDescent="0.3">
      <c r="A79" s="308" t="s">
        <v>42</v>
      </c>
      <c r="B79" s="247"/>
      <c r="C79" s="122">
        <f>C78+C71</f>
        <v>0</v>
      </c>
      <c r="D79" s="247" t="s">
        <v>43</v>
      </c>
      <c r="E79" s="247"/>
      <c r="F79" s="122">
        <f>C79</f>
        <v>0</v>
      </c>
    </row>
    <row r="80" spans="1:9" s="148" customFormat="1" ht="14.25" customHeight="1" thickTop="1" thickBot="1" x14ac:dyDescent="0.3">
      <c r="A80" s="26"/>
      <c r="B80" s="27"/>
      <c r="C80" s="28"/>
      <c r="D80" s="27"/>
      <c r="E80" s="27"/>
      <c r="F80" s="29"/>
    </row>
    <row r="81" spans="1:9" ht="18.75" customHeight="1" thickTop="1" thickBot="1" x14ac:dyDescent="0.25">
      <c r="A81" s="223" t="s">
        <v>143</v>
      </c>
      <c r="B81" s="224"/>
      <c r="C81" s="224"/>
      <c r="D81" s="224"/>
      <c r="E81" s="224"/>
      <c r="F81" s="225"/>
    </row>
    <row r="82" spans="1:9" ht="17.25" customHeight="1" thickTop="1" x14ac:dyDescent="0.25">
      <c r="A82" s="304" t="s">
        <v>59</v>
      </c>
      <c r="B82" s="123">
        <v>44255</v>
      </c>
      <c r="C82" s="124" t="s">
        <v>88</v>
      </c>
      <c r="D82" s="125">
        <v>44287</v>
      </c>
      <c r="E82" s="126" t="s">
        <v>117</v>
      </c>
      <c r="F82" s="127" t="s">
        <v>78</v>
      </c>
    </row>
    <row r="83" spans="1:9" ht="17.25" customHeight="1" x14ac:dyDescent="0.25">
      <c r="A83" s="305"/>
      <c r="B83" s="119" t="s">
        <v>28</v>
      </c>
      <c r="C83" s="128" t="s">
        <v>29</v>
      </c>
      <c r="D83" s="119" t="s">
        <v>28</v>
      </c>
      <c r="E83" s="128" t="s">
        <v>29</v>
      </c>
      <c r="F83" s="129" t="s">
        <v>29</v>
      </c>
    </row>
    <row r="84" spans="1:9" ht="17.25" customHeight="1" x14ac:dyDescent="0.25">
      <c r="A84" s="102" t="s">
        <v>139</v>
      </c>
      <c r="B84" s="85"/>
      <c r="C84" s="88">
        <v>100</v>
      </c>
      <c r="D84" s="85">
        <f>+B84*1.35</f>
        <v>0</v>
      </c>
      <c r="E84" s="103">
        <v>100</v>
      </c>
      <c r="F84" s="104" t="e">
        <f>(D84-B84)/B84*100</f>
        <v>#DIV/0!</v>
      </c>
    </row>
    <row r="85" spans="1:9" ht="17.25" customHeight="1" x14ac:dyDescent="0.25">
      <c r="A85" s="38" t="s">
        <v>82</v>
      </c>
      <c r="B85" s="37"/>
      <c r="C85" s="47" t="e">
        <f>B85/$B$84*100</f>
        <v>#DIV/0!</v>
      </c>
      <c r="D85" s="37"/>
      <c r="E85" s="48" t="e">
        <f>D85/$D$84*100</f>
        <v>#DIV/0!</v>
      </c>
      <c r="F85" s="48" t="e">
        <f>(D85-B85)/B85*100</f>
        <v>#DIV/0!</v>
      </c>
    </row>
    <row r="86" spans="1:9" ht="17.25" customHeight="1" x14ac:dyDescent="0.25">
      <c r="A86" s="42" t="s">
        <v>30</v>
      </c>
      <c r="B86" s="40">
        <f>B84-B85</f>
        <v>0</v>
      </c>
      <c r="C86" s="47" t="e">
        <f t="shared" ref="C86:C95" si="0">B86/$B$84*100</f>
        <v>#DIV/0!</v>
      </c>
      <c r="D86" s="40">
        <f>D84-D85</f>
        <v>0</v>
      </c>
      <c r="E86" s="48" t="e">
        <f t="shared" ref="E86:E95" si="1">D86/$D$84*100</f>
        <v>#DIV/0!</v>
      </c>
      <c r="F86" s="48" t="e">
        <f>(D86-B86)/B86*100</f>
        <v>#DIV/0!</v>
      </c>
      <c r="H86" s="147"/>
      <c r="I86" s="147"/>
    </row>
    <row r="87" spans="1:9" ht="17.25" customHeight="1" x14ac:dyDescent="0.25">
      <c r="A87" s="38" t="s">
        <v>79</v>
      </c>
      <c r="B87" s="37"/>
      <c r="C87" s="47" t="e">
        <f t="shared" si="0"/>
        <v>#DIV/0!</v>
      </c>
      <c r="D87" s="37"/>
      <c r="E87" s="48" t="e">
        <f t="shared" si="1"/>
        <v>#DIV/0!</v>
      </c>
      <c r="F87" s="48" t="e">
        <f t="shared" ref="F87:F96" si="2">(D87-B87)/B87*100</f>
        <v>#DIV/0!</v>
      </c>
      <c r="H87" s="147"/>
      <c r="I87" s="147"/>
    </row>
    <row r="88" spans="1:9" ht="17.25" customHeight="1" x14ac:dyDescent="0.25">
      <c r="A88" s="38" t="s">
        <v>89</v>
      </c>
      <c r="B88" s="37"/>
      <c r="C88" s="47" t="e">
        <f t="shared" si="0"/>
        <v>#DIV/0!</v>
      </c>
      <c r="D88" s="37"/>
      <c r="E88" s="48" t="e">
        <f t="shared" si="1"/>
        <v>#DIV/0!</v>
      </c>
      <c r="F88" s="48" t="e">
        <f t="shared" si="2"/>
        <v>#DIV/0!</v>
      </c>
      <c r="H88" s="147"/>
      <c r="I88" s="147"/>
    </row>
    <row r="89" spans="1:9" ht="17.25" customHeight="1" x14ac:dyDescent="0.25">
      <c r="A89" s="38" t="s">
        <v>32</v>
      </c>
      <c r="B89" s="37"/>
      <c r="C89" s="47" t="e">
        <f t="shared" si="0"/>
        <v>#DIV/0!</v>
      </c>
      <c r="D89" s="37"/>
      <c r="E89" s="48" t="e">
        <f t="shared" si="1"/>
        <v>#DIV/0!</v>
      </c>
      <c r="F89" s="48" t="e">
        <f t="shared" si="2"/>
        <v>#DIV/0!</v>
      </c>
    </row>
    <row r="90" spans="1:9" ht="17.25" customHeight="1" x14ac:dyDescent="0.25">
      <c r="A90" s="49" t="s">
        <v>31</v>
      </c>
      <c r="B90" s="37"/>
      <c r="C90" s="47" t="e">
        <f t="shared" si="0"/>
        <v>#DIV/0!</v>
      </c>
      <c r="D90" s="78"/>
      <c r="E90" s="48" t="e">
        <f t="shared" si="1"/>
        <v>#DIV/0!</v>
      </c>
      <c r="F90" s="48" t="e">
        <f t="shared" si="2"/>
        <v>#DIV/0!</v>
      </c>
    </row>
    <row r="91" spans="1:9" ht="17.25" customHeight="1" x14ac:dyDescent="0.25">
      <c r="A91" s="50" t="s">
        <v>74</v>
      </c>
      <c r="B91" s="78"/>
      <c r="C91" s="156" t="e">
        <f t="shared" si="0"/>
        <v>#DIV/0!</v>
      </c>
      <c r="D91" s="78"/>
      <c r="E91" s="157" t="e">
        <f t="shared" si="1"/>
        <v>#DIV/0!</v>
      </c>
      <c r="F91" s="157" t="e">
        <f t="shared" si="2"/>
        <v>#DIV/0!</v>
      </c>
    </row>
    <row r="92" spans="1:9" ht="17.25" customHeight="1" x14ac:dyDescent="0.25">
      <c r="A92" s="50" t="s">
        <v>121</v>
      </c>
      <c r="B92" s="78"/>
      <c r="C92" s="156" t="e">
        <f t="shared" si="0"/>
        <v>#DIV/0!</v>
      </c>
      <c r="D92" s="78"/>
      <c r="E92" s="157" t="e">
        <f t="shared" si="1"/>
        <v>#DIV/0!</v>
      </c>
      <c r="F92" s="157" t="e">
        <f t="shared" si="2"/>
        <v>#DIV/0!</v>
      </c>
    </row>
    <row r="93" spans="1:9" ht="17.25" customHeight="1" x14ac:dyDescent="0.25">
      <c r="A93" s="50" t="s">
        <v>140</v>
      </c>
      <c r="B93" s="78"/>
      <c r="C93" s="156" t="e">
        <f t="shared" si="0"/>
        <v>#DIV/0!</v>
      </c>
      <c r="D93" s="78"/>
      <c r="E93" s="157" t="e">
        <f t="shared" si="1"/>
        <v>#DIV/0!</v>
      </c>
      <c r="F93" s="157" t="e">
        <f t="shared" si="2"/>
        <v>#DIV/0!</v>
      </c>
    </row>
    <row r="94" spans="1:9" ht="17.25" customHeight="1" x14ac:dyDescent="0.25">
      <c r="A94" s="50" t="s">
        <v>45</v>
      </c>
      <c r="B94" s="78"/>
      <c r="C94" s="156" t="e">
        <f t="shared" si="0"/>
        <v>#DIV/0!</v>
      </c>
      <c r="D94" s="78"/>
      <c r="E94" s="157" t="e">
        <f t="shared" si="1"/>
        <v>#DIV/0!</v>
      </c>
      <c r="F94" s="157" t="e">
        <f t="shared" si="2"/>
        <v>#DIV/0!</v>
      </c>
    </row>
    <row r="95" spans="1:9" ht="17.25" customHeight="1" thickBot="1" x14ac:dyDescent="0.3">
      <c r="A95" s="158" t="s">
        <v>57</v>
      </c>
      <c r="B95" s="159">
        <f>SUM(B87:B94)</f>
        <v>0</v>
      </c>
      <c r="C95" s="156" t="e">
        <f t="shared" si="0"/>
        <v>#DIV/0!</v>
      </c>
      <c r="D95" s="159">
        <f>SUM(D87:D94)</f>
        <v>0</v>
      </c>
      <c r="E95" s="157" t="e">
        <f t="shared" si="1"/>
        <v>#DIV/0!</v>
      </c>
      <c r="F95" s="157" t="e">
        <f t="shared" si="2"/>
        <v>#DIV/0!</v>
      </c>
    </row>
    <row r="96" spans="1:9" ht="17.25" customHeight="1" thickBot="1" x14ac:dyDescent="0.3">
      <c r="A96" s="130" t="s">
        <v>134</v>
      </c>
      <c r="B96" s="131">
        <f>B86-B95</f>
        <v>0</v>
      </c>
      <c r="C96" s="132" t="e">
        <f>B96/B84*100</f>
        <v>#DIV/0!</v>
      </c>
      <c r="D96" s="133">
        <f>D86-D95</f>
        <v>0</v>
      </c>
      <c r="E96" s="134" t="e">
        <f>D96/D84*100</f>
        <v>#DIV/0!</v>
      </c>
      <c r="F96" s="134" t="e">
        <f t="shared" si="2"/>
        <v>#DIV/0!</v>
      </c>
    </row>
    <row r="97" spans="1:9" s="147" customFormat="1" ht="13.5" customHeight="1" thickBot="1" x14ac:dyDescent="0.3">
      <c r="A97" s="109"/>
      <c r="B97" s="22"/>
      <c r="C97" s="23"/>
      <c r="D97" s="24"/>
      <c r="E97" s="25"/>
      <c r="F97" s="25"/>
      <c r="H97" s="2"/>
      <c r="I97" s="2"/>
    </row>
    <row r="98" spans="1:9" ht="21" customHeight="1" thickTop="1" thickBot="1" x14ac:dyDescent="0.3">
      <c r="A98" s="6"/>
      <c r="B98" s="223" t="s">
        <v>50</v>
      </c>
      <c r="C98" s="224"/>
      <c r="D98" s="224"/>
      <c r="E98" s="225"/>
      <c r="F98" s="7"/>
    </row>
    <row r="99" spans="1:9" ht="21" customHeight="1" thickTop="1" x14ac:dyDescent="0.25">
      <c r="A99" s="51" t="s">
        <v>90</v>
      </c>
      <c r="B99" s="87"/>
      <c r="C99" s="72" t="s">
        <v>153</v>
      </c>
      <c r="D99" s="73"/>
      <c r="E99" s="52"/>
      <c r="F99" s="40"/>
    </row>
    <row r="100" spans="1:9" ht="21" customHeight="1" x14ac:dyDescent="0.25">
      <c r="A100" s="51" t="s">
        <v>91</v>
      </c>
      <c r="B100" s="40"/>
      <c r="C100" s="74" t="s">
        <v>154</v>
      </c>
      <c r="D100" s="75"/>
      <c r="E100" s="53"/>
      <c r="F100" s="85"/>
    </row>
    <row r="101" spans="1:9" ht="21" customHeight="1" x14ac:dyDescent="0.25">
      <c r="A101" s="51" t="s">
        <v>92</v>
      </c>
      <c r="B101" s="40"/>
      <c r="C101" s="54" t="s">
        <v>93</v>
      </c>
      <c r="D101" s="39"/>
      <c r="E101" s="55"/>
      <c r="F101" s="40"/>
    </row>
    <row r="102" spans="1:9" ht="21" customHeight="1" thickBot="1" x14ac:dyDescent="0.3">
      <c r="A102" s="17"/>
      <c r="B102" s="56"/>
      <c r="C102" s="76" t="s">
        <v>155</v>
      </c>
      <c r="D102" s="77"/>
      <c r="E102" s="57"/>
      <c r="F102" s="92"/>
    </row>
    <row r="103" spans="1:9" ht="21" customHeight="1" thickBot="1" x14ac:dyDescent="0.3">
      <c r="A103" s="17"/>
      <c r="B103" s="112"/>
      <c r="C103" s="58" t="s">
        <v>94</v>
      </c>
      <c r="D103" s="59"/>
      <c r="E103" s="60"/>
      <c r="F103" s="93">
        <f>F101-F102</f>
        <v>0</v>
      </c>
    </row>
    <row r="104" spans="1:9" ht="31.5" customHeight="1" x14ac:dyDescent="0.2">
      <c r="A104" s="98" t="s">
        <v>159</v>
      </c>
      <c r="B104" s="99" t="e">
        <f>F101/F102</f>
        <v>#DIV/0!</v>
      </c>
      <c r="C104" s="257" t="s">
        <v>158</v>
      </c>
      <c r="D104" s="258"/>
      <c r="E104" s="259"/>
    </row>
    <row r="105" spans="1:9" ht="31.5" customHeight="1" x14ac:dyDescent="0.25">
      <c r="A105" s="149" t="s">
        <v>156</v>
      </c>
      <c r="B105" s="97" t="e">
        <f>B150/F64</f>
        <v>#DIV/0!</v>
      </c>
      <c r="C105" s="254" t="s">
        <v>157</v>
      </c>
      <c r="D105" s="255"/>
      <c r="E105" s="256"/>
    </row>
    <row r="106" spans="1:9" s="161" customFormat="1" ht="27" customHeight="1" x14ac:dyDescent="0.2">
      <c r="A106" s="164" t="s">
        <v>163</v>
      </c>
      <c r="B106" s="283" t="s">
        <v>167</v>
      </c>
      <c r="C106" s="284"/>
      <c r="D106" s="284"/>
      <c r="E106" s="285"/>
      <c r="F106" s="94"/>
    </row>
    <row r="107" spans="1:9" ht="21" customHeight="1" x14ac:dyDescent="0.2">
      <c r="A107" s="150"/>
      <c r="D107" s="151"/>
      <c r="E107" s="151"/>
      <c r="F107" s="94"/>
    </row>
    <row r="108" spans="1:9" ht="16.899999999999999" customHeight="1" x14ac:dyDescent="0.25">
      <c r="A108" s="273" t="s">
        <v>146</v>
      </c>
      <c r="B108" s="273"/>
      <c r="C108" s="273"/>
      <c r="D108" s="273"/>
      <c r="E108" s="273"/>
      <c r="F108" s="273"/>
    </row>
    <row r="109" spans="1:9" ht="16.899999999999999" customHeight="1" x14ac:dyDescent="0.25">
      <c r="A109" s="241" t="s">
        <v>147</v>
      </c>
      <c r="B109" s="241"/>
      <c r="C109" s="241"/>
      <c r="D109" s="242" t="s">
        <v>148</v>
      </c>
      <c r="E109" s="242"/>
      <c r="F109" s="242"/>
    </row>
    <row r="110" spans="1:9" ht="27" customHeight="1" x14ac:dyDescent="0.2">
      <c r="A110" s="135" t="s">
        <v>149</v>
      </c>
      <c r="B110" s="136" t="s">
        <v>21</v>
      </c>
      <c r="C110" s="163" t="s">
        <v>150</v>
      </c>
      <c r="D110" s="137" t="s">
        <v>149</v>
      </c>
      <c r="E110" s="138" t="s">
        <v>21</v>
      </c>
      <c r="F110" s="139" t="s">
        <v>151</v>
      </c>
    </row>
    <row r="111" spans="1:9" ht="16.899999999999999" customHeight="1" x14ac:dyDescent="0.25">
      <c r="A111" s="140"/>
      <c r="B111" s="162"/>
      <c r="C111" s="141" t="e">
        <f>+B111/A111</f>
        <v>#DIV/0!</v>
      </c>
      <c r="D111" s="142"/>
      <c r="E111" s="140"/>
      <c r="F111" s="141" t="e">
        <f>+E111/D111</f>
        <v>#DIV/0!</v>
      </c>
      <c r="H111" s="147"/>
    </row>
    <row r="112" spans="1:9" ht="15" customHeight="1" thickBot="1" x14ac:dyDescent="0.3">
      <c r="A112" s="253"/>
      <c r="B112" s="253"/>
      <c r="C112" s="253"/>
      <c r="D112" s="253"/>
      <c r="E112" s="253"/>
      <c r="F112" s="253"/>
    </row>
    <row r="113" spans="1:6" ht="17.25" customHeight="1" thickTop="1" thickBot="1" x14ac:dyDescent="0.3">
      <c r="A113" s="9"/>
      <c r="B113" s="223" t="s">
        <v>33</v>
      </c>
      <c r="C113" s="224"/>
      <c r="D113" s="224"/>
      <c r="E113" s="225"/>
      <c r="F113" s="9"/>
    </row>
    <row r="114" spans="1:6" ht="15.75" customHeight="1" thickTop="1" x14ac:dyDescent="0.25">
      <c r="A114" s="113" t="s">
        <v>113</v>
      </c>
      <c r="B114" s="3"/>
      <c r="C114" s="3"/>
      <c r="D114" s="3"/>
      <c r="E114" s="3"/>
      <c r="F114" s="3"/>
    </row>
    <row r="115" spans="1:6" ht="19.5" customHeight="1" x14ac:dyDescent="0.25">
      <c r="A115" s="204" t="s">
        <v>34</v>
      </c>
      <c r="B115" s="205"/>
      <c r="C115" s="21" t="s">
        <v>21</v>
      </c>
      <c r="D115" s="204" t="s">
        <v>35</v>
      </c>
      <c r="E115" s="246"/>
      <c r="F115" s="21" t="s">
        <v>21</v>
      </c>
    </row>
    <row r="116" spans="1:6" ht="18.75" customHeight="1" x14ac:dyDescent="0.25">
      <c r="A116" s="34" t="s">
        <v>95</v>
      </c>
      <c r="B116" s="39"/>
      <c r="C116" s="61"/>
      <c r="D116" s="177" t="s">
        <v>97</v>
      </c>
      <c r="E116" s="179"/>
      <c r="F116" s="37"/>
    </row>
    <row r="117" spans="1:6" ht="18.75" customHeight="1" x14ac:dyDescent="0.25">
      <c r="A117" s="34" t="s">
        <v>62</v>
      </c>
      <c r="B117" s="39"/>
      <c r="C117" s="107"/>
      <c r="D117" s="177" t="s">
        <v>36</v>
      </c>
      <c r="E117" s="179"/>
      <c r="F117" s="62"/>
    </row>
    <row r="118" spans="1:6" ht="18.75" customHeight="1" x14ac:dyDescent="0.25">
      <c r="A118" s="34"/>
      <c r="B118" s="39"/>
      <c r="C118" s="61"/>
      <c r="D118" s="177" t="s">
        <v>96</v>
      </c>
      <c r="E118" s="179"/>
      <c r="F118" s="62"/>
    </row>
    <row r="119" spans="1:6" ht="18.75" customHeight="1" x14ac:dyDescent="0.25">
      <c r="A119" s="34"/>
      <c r="B119" s="39"/>
      <c r="C119" s="37"/>
      <c r="D119" s="177" t="s">
        <v>169</v>
      </c>
      <c r="E119" s="179"/>
      <c r="F119" s="62"/>
    </row>
    <row r="120" spans="1:6" ht="18.75" customHeight="1" x14ac:dyDescent="0.25">
      <c r="A120" s="34"/>
      <c r="B120" s="39"/>
      <c r="C120" s="61"/>
      <c r="D120" s="177" t="s">
        <v>37</v>
      </c>
      <c r="E120" s="179"/>
      <c r="F120" s="62"/>
    </row>
    <row r="121" spans="1:6" ht="18.75" customHeight="1" x14ac:dyDescent="0.25">
      <c r="A121" s="34"/>
      <c r="B121" s="39"/>
      <c r="C121" s="107"/>
      <c r="D121" s="198" t="s">
        <v>120</v>
      </c>
      <c r="E121" s="199"/>
      <c r="F121" s="63">
        <f>C122-(F117+F118+F119+F120)</f>
        <v>0</v>
      </c>
    </row>
    <row r="122" spans="1:6" ht="18.75" customHeight="1" x14ac:dyDescent="0.25">
      <c r="A122" s="34"/>
      <c r="B122" s="108" t="s">
        <v>48</v>
      </c>
      <c r="C122" s="64">
        <f>SUM(C116:C121)</f>
        <v>0</v>
      </c>
      <c r="D122" s="204" t="s">
        <v>48</v>
      </c>
      <c r="E122" s="246"/>
      <c r="F122" s="63">
        <f>SUM(F117:F121)</f>
        <v>0</v>
      </c>
    </row>
    <row r="123" spans="1:6" ht="15.75" x14ac:dyDescent="0.25">
      <c r="A123" s="17"/>
      <c r="B123" s="17"/>
      <c r="C123" s="14"/>
      <c r="D123" s="65"/>
      <c r="E123" s="14"/>
      <c r="F123" s="17"/>
    </row>
    <row r="124" spans="1:6" ht="18" x14ac:dyDescent="0.25">
      <c r="A124" s="113" t="s">
        <v>38</v>
      </c>
      <c r="B124" s="4"/>
      <c r="C124" s="4"/>
      <c r="D124" s="4"/>
      <c r="E124" s="4"/>
      <c r="F124" s="4"/>
    </row>
    <row r="125" spans="1:6" ht="18" x14ac:dyDescent="0.25">
      <c r="A125" s="295" t="s">
        <v>18</v>
      </c>
      <c r="B125" s="296"/>
      <c r="C125" s="143" t="s">
        <v>21</v>
      </c>
      <c r="D125" s="295" t="s">
        <v>19</v>
      </c>
      <c r="E125" s="296"/>
      <c r="F125" s="144" t="s">
        <v>21</v>
      </c>
    </row>
    <row r="126" spans="1:6" ht="20.100000000000001" customHeight="1" x14ac:dyDescent="0.25">
      <c r="A126" s="34" t="s">
        <v>136</v>
      </c>
      <c r="B126" s="35"/>
      <c r="C126" s="78"/>
      <c r="D126" s="34" t="s">
        <v>126</v>
      </c>
      <c r="E126" s="39"/>
      <c r="F126" s="40">
        <f>+C131</f>
        <v>0</v>
      </c>
    </row>
    <row r="127" spans="1:6" ht="20.100000000000001" customHeight="1" x14ac:dyDescent="0.25">
      <c r="A127" s="34" t="s">
        <v>166</v>
      </c>
      <c r="B127" s="35"/>
      <c r="C127" s="78"/>
      <c r="D127" s="34"/>
      <c r="E127" s="39"/>
      <c r="F127" s="37"/>
    </row>
    <row r="128" spans="1:6" ht="20.100000000000001" customHeight="1" x14ac:dyDescent="0.25">
      <c r="A128" s="34" t="s">
        <v>171</v>
      </c>
      <c r="B128" s="35"/>
      <c r="C128" s="66"/>
      <c r="D128" s="34" t="s">
        <v>127</v>
      </c>
      <c r="E128" s="39"/>
      <c r="F128" s="37"/>
    </row>
    <row r="129" spans="1:9" ht="20.100000000000001" customHeight="1" x14ac:dyDescent="0.25">
      <c r="A129" s="34" t="s">
        <v>39</v>
      </c>
      <c r="B129" s="35"/>
      <c r="C129" s="66"/>
      <c r="D129" s="34" t="s">
        <v>128</v>
      </c>
      <c r="E129" s="39"/>
      <c r="F129" s="37"/>
    </row>
    <row r="130" spans="1:9" s="152" customFormat="1" ht="20.100000000000001" customHeight="1" x14ac:dyDescent="0.25">
      <c r="A130" s="34" t="s">
        <v>80</v>
      </c>
      <c r="B130" s="35"/>
      <c r="C130" s="66"/>
      <c r="D130" s="34"/>
      <c r="E130" s="39"/>
      <c r="F130" s="37"/>
      <c r="H130" s="2"/>
      <c r="I130" s="2"/>
    </row>
    <row r="131" spans="1:9" ht="24" customHeight="1" x14ac:dyDescent="0.25">
      <c r="A131" s="198" t="s">
        <v>48</v>
      </c>
      <c r="B131" s="199"/>
      <c r="C131" s="40">
        <f>SUM(C126:C130)</f>
        <v>0</v>
      </c>
      <c r="D131" s="198" t="s">
        <v>48</v>
      </c>
      <c r="E131" s="199"/>
      <c r="F131" s="40">
        <f>SUM(F126:F130)</f>
        <v>0</v>
      </c>
    </row>
    <row r="132" spans="1:9" ht="20.100000000000001" customHeight="1" thickBot="1" x14ac:dyDescent="0.3">
      <c r="A132" s="17"/>
      <c r="B132" s="17"/>
      <c r="C132" s="17"/>
      <c r="D132" s="17"/>
      <c r="E132" s="17"/>
      <c r="F132" s="20"/>
    </row>
    <row r="133" spans="1:9" s="153" customFormat="1" ht="17.25" customHeight="1" thickTop="1" thickBot="1" x14ac:dyDescent="0.3">
      <c r="A133" s="8"/>
      <c r="B133" s="223" t="s">
        <v>51</v>
      </c>
      <c r="C133" s="224"/>
      <c r="D133" s="224"/>
      <c r="E133" s="225"/>
      <c r="F133" s="8"/>
    </row>
    <row r="134" spans="1:9" ht="18.75" customHeight="1" thickTop="1" x14ac:dyDescent="0.25">
      <c r="A134" s="243" t="s">
        <v>20</v>
      </c>
      <c r="B134" s="244"/>
      <c r="C134" s="244"/>
      <c r="D134" s="18"/>
      <c r="E134" s="245" t="s">
        <v>56</v>
      </c>
      <c r="F134" s="246"/>
    </row>
    <row r="135" spans="1:9" ht="21" customHeight="1" x14ac:dyDescent="0.25">
      <c r="A135" s="292" t="s">
        <v>86</v>
      </c>
      <c r="B135" s="293"/>
      <c r="C135" s="293"/>
      <c r="D135" s="294"/>
      <c r="E135" s="288">
        <f>F33*10/100</f>
        <v>0</v>
      </c>
      <c r="F135" s="289"/>
    </row>
    <row r="136" spans="1:9" s="161" customFormat="1" ht="19.5" customHeight="1" x14ac:dyDescent="0.2">
      <c r="A136" s="260" t="s">
        <v>176</v>
      </c>
      <c r="B136" s="261"/>
      <c r="C136" s="261"/>
      <c r="D136" s="262"/>
      <c r="E136" s="263"/>
      <c r="F136" s="264"/>
    </row>
    <row r="137" spans="1:9" ht="21" customHeight="1" thickBot="1" x14ac:dyDescent="0.3">
      <c r="A137" s="154" t="s">
        <v>48</v>
      </c>
      <c r="B137" s="155"/>
      <c r="C137" s="155"/>
      <c r="D137" s="155"/>
      <c r="E137" s="232">
        <f>SUM(E135:E136)</f>
        <v>0</v>
      </c>
      <c r="F137" s="233"/>
    </row>
    <row r="138" spans="1:9" ht="21" customHeight="1" x14ac:dyDescent="0.25">
      <c r="A138" s="109"/>
      <c r="B138" s="234" t="s">
        <v>72</v>
      </c>
      <c r="C138" s="234"/>
      <c r="D138" s="235"/>
      <c r="E138" s="145" t="e">
        <f>E137/B156*100</f>
        <v>#DIV/0!</v>
      </c>
      <c r="F138" s="19"/>
    </row>
    <row r="139" spans="1:9" ht="16.5" thickBot="1" x14ac:dyDescent="0.3">
      <c r="A139" s="16"/>
      <c r="B139" s="16"/>
      <c r="C139" s="16"/>
      <c r="D139" s="16"/>
      <c r="E139" s="16"/>
      <c r="F139" s="112"/>
    </row>
    <row r="140" spans="1:9" ht="12.75" customHeight="1" thickTop="1" x14ac:dyDescent="0.2">
      <c r="A140" s="226" t="s">
        <v>84</v>
      </c>
      <c r="B140" s="227"/>
      <c r="C140" s="227"/>
      <c r="D140" s="227"/>
      <c r="E140" s="227"/>
      <c r="F140" s="228"/>
    </row>
    <row r="141" spans="1:9" ht="12.75" customHeight="1" thickBot="1" x14ac:dyDescent="0.25">
      <c r="A141" s="229"/>
      <c r="B141" s="230"/>
      <c r="C141" s="230"/>
      <c r="D141" s="230"/>
      <c r="E141" s="230"/>
      <c r="F141" s="231"/>
    </row>
    <row r="142" spans="1:9" ht="21" customHeight="1" thickTop="1" thickBot="1" x14ac:dyDescent="0.25">
      <c r="A142" s="317" t="s">
        <v>52</v>
      </c>
      <c r="B142" s="192"/>
      <c r="C142" s="193"/>
      <c r="D142" s="193"/>
      <c r="E142" s="193"/>
      <c r="F142" s="194"/>
    </row>
    <row r="143" spans="1:9" ht="21" customHeight="1" thickBot="1" x14ac:dyDescent="0.25">
      <c r="A143" s="318" t="s">
        <v>53</v>
      </c>
      <c r="B143" s="297"/>
      <c r="C143" s="298"/>
      <c r="D143" s="298"/>
      <c r="E143" s="298"/>
      <c r="F143" s="299"/>
    </row>
    <row r="144" spans="1:9" ht="21" customHeight="1" thickBot="1" x14ac:dyDescent="0.25">
      <c r="A144" s="319" t="s">
        <v>60</v>
      </c>
      <c r="B144" s="297"/>
      <c r="C144" s="298"/>
      <c r="D144" s="298"/>
      <c r="E144" s="298"/>
      <c r="F144" s="299"/>
    </row>
    <row r="145" spans="1:8" ht="21" customHeight="1" thickBot="1" x14ac:dyDescent="0.25">
      <c r="A145" s="319" t="s">
        <v>61</v>
      </c>
      <c r="B145" s="276"/>
      <c r="C145" s="277"/>
      <c r="D145" s="277"/>
      <c r="E145" s="277"/>
      <c r="F145" s="278"/>
    </row>
    <row r="146" spans="1:8" ht="16.5" thickBot="1" x14ac:dyDescent="0.3">
      <c r="A146" s="112"/>
      <c r="B146" s="112"/>
      <c r="C146" s="112"/>
      <c r="D146" s="112"/>
      <c r="E146" s="112"/>
      <c r="F146" s="112"/>
    </row>
    <row r="147" spans="1:8" ht="19.5" thickTop="1" thickBot="1" x14ac:dyDescent="0.3">
      <c r="A147" s="270" t="s">
        <v>54</v>
      </c>
      <c r="B147" s="271"/>
      <c r="C147" s="271"/>
      <c r="D147" s="271"/>
      <c r="E147" s="271"/>
      <c r="F147" s="272"/>
    </row>
    <row r="148" spans="1:8" ht="15" customHeight="1" thickTop="1" x14ac:dyDescent="0.25">
      <c r="A148" s="267" t="s">
        <v>130</v>
      </c>
      <c r="B148" s="268"/>
      <c r="C148" s="268"/>
      <c r="D148" s="268"/>
      <c r="E148" s="268"/>
      <c r="F148" s="269"/>
    </row>
    <row r="149" spans="1:8" ht="14.25" customHeight="1" x14ac:dyDescent="0.25">
      <c r="A149" s="267" t="s">
        <v>177</v>
      </c>
      <c r="B149" s="268"/>
      <c r="C149" s="268"/>
      <c r="D149" s="268"/>
      <c r="E149" s="268"/>
      <c r="F149" s="269"/>
    </row>
    <row r="150" spans="1:8" ht="18" customHeight="1" x14ac:dyDescent="0.25">
      <c r="A150" s="67" t="s">
        <v>178</v>
      </c>
      <c r="B150" s="86">
        <f>F33</f>
        <v>0</v>
      </c>
      <c r="C150" s="69" t="s">
        <v>135</v>
      </c>
      <c r="D150" s="68"/>
      <c r="E150" s="70"/>
      <c r="F150" s="71"/>
    </row>
    <row r="151" spans="1:8" ht="14.25" customHeight="1" x14ac:dyDescent="0.25">
      <c r="A151" s="32" t="s">
        <v>101</v>
      </c>
      <c r="B151" s="88"/>
      <c r="C151" s="265" t="s">
        <v>123</v>
      </c>
      <c r="D151" s="265"/>
      <c r="E151" s="265"/>
      <c r="F151" s="266"/>
    </row>
    <row r="152" spans="1:8" ht="16.5" customHeight="1" x14ac:dyDescent="0.25">
      <c r="A152" s="10" t="s">
        <v>102</v>
      </c>
      <c r="B152" s="89"/>
      <c r="C152" s="265" t="s">
        <v>124</v>
      </c>
      <c r="D152" s="265"/>
      <c r="E152" s="265"/>
      <c r="F152" s="266"/>
    </row>
    <row r="153" spans="1:8" ht="16.5" customHeight="1" x14ac:dyDescent="0.25">
      <c r="A153" s="1" t="s">
        <v>71</v>
      </c>
      <c r="B153" s="88"/>
      <c r="C153" s="11" t="s">
        <v>125</v>
      </c>
      <c r="D153" s="11"/>
      <c r="E153" s="11"/>
      <c r="F153" s="12"/>
    </row>
    <row r="154" spans="1:8" ht="17.25" customHeight="1" x14ac:dyDescent="0.25">
      <c r="A154" s="13" t="s">
        <v>87</v>
      </c>
      <c r="B154" s="83"/>
      <c r="C154" s="80" t="s">
        <v>69</v>
      </c>
      <c r="D154" s="279"/>
      <c r="E154" s="279"/>
      <c r="F154" s="280"/>
    </row>
    <row r="155" spans="1:8" ht="17.25" customHeight="1" x14ac:dyDescent="0.25">
      <c r="A155" s="13" t="s">
        <v>73</v>
      </c>
      <c r="B155" s="83"/>
      <c r="C155" s="80" t="s">
        <v>179</v>
      </c>
      <c r="D155" s="80"/>
      <c r="E155" s="81"/>
      <c r="F155" s="82"/>
      <c r="H155" s="171"/>
    </row>
    <row r="156" spans="1:8" ht="18" customHeight="1" x14ac:dyDescent="0.25">
      <c r="A156" s="1" t="s">
        <v>70</v>
      </c>
      <c r="B156" s="83"/>
      <c r="C156" s="81" t="s">
        <v>68</v>
      </c>
      <c r="D156" s="279"/>
      <c r="E156" s="279"/>
      <c r="F156" s="280"/>
    </row>
    <row r="157" spans="1:8" ht="16.5" thickBot="1" x14ac:dyDescent="0.3">
      <c r="A157" s="100"/>
      <c r="B157" s="100"/>
      <c r="C157" s="15"/>
      <c r="D157" s="15"/>
      <c r="E157" s="15"/>
      <c r="F157" s="14"/>
    </row>
    <row r="158" spans="1:8" ht="16.5" thickBot="1" x14ac:dyDescent="0.3">
      <c r="A158" s="100"/>
      <c r="B158" s="100"/>
      <c r="C158" s="306" t="s">
        <v>165</v>
      </c>
      <c r="D158" s="307"/>
      <c r="E158" s="15"/>
      <c r="F158" s="14"/>
    </row>
    <row r="159" spans="1:8" ht="15.75" x14ac:dyDescent="0.25">
      <c r="A159" s="100"/>
      <c r="B159" s="100"/>
      <c r="C159" s="146"/>
      <c r="D159" s="146"/>
      <c r="E159" s="15"/>
      <c r="F159" s="14"/>
    </row>
    <row r="160" spans="1:8" ht="15.75" x14ac:dyDescent="0.25">
      <c r="A160" s="173" t="s">
        <v>164</v>
      </c>
      <c r="B160" s="173"/>
      <c r="C160" s="173" t="s">
        <v>160</v>
      </c>
      <c r="D160" s="173"/>
      <c r="E160" s="173" t="s">
        <v>161</v>
      </c>
      <c r="F160" s="173"/>
    </row>
    <row r="161" spans="1:6" ht="15.75" x14ac:dyDescent="0.25">
      <c r="A161" s="160"/>
      <c r="B161" s="160"/>
      <c r="C161" s="160"/>
      <c r="D161" s="160"/>
      <c r="E161" s="160"/>
      <c r="F161" s="160"/>
    </row>
    <row r="162" spans="1:6" ht="15.75" x14ac:dyDescent="0.25">
      <c r="A162" s="160"/>
      <c r="B162" s="160"/>
      <c r="C162" s="160"/>
      <c r="D162" s="160"/>
      <c r="E162" s="160"/>
      <c r="F162" s="160"/>
    </row>
    <row r="163" spans="1:6" ht="15.75" x14ac:dyDescent="0.25">
      <c r="A163" s="160"/>
      <c r="B163" s="160"/>
      <c r="C163" s="160"/>
      <c r="D163" s="160"/>
      <c r="E163" s="160"/>
      <c r="F163" s="160"/>
    </row>
    <row r="164" spans="1:6" ht="15.75" x14ac:dyDescent="0.25">
      <c r="A164" s="101"/>
      <c r="B164" s="101"/>
      <c r="C164" s="101"/>
      <c r="D164" s="101"/>
      <c r="E164" s="101"/>
      <c r="F164" s="95"/>
    </row>
    <row r="165" spans="1:6" ht="15.75" x14ac:dyDescent="0.25">
      <c r="A165" s="173"/>
      <c r="B165" s="173"/>
      <c r="C165" s="173"/>
      <c r="D165" s="173"/>
      <c r="E165" s="173"/>
      <c r="F165" s="173"/>
    </row>
  </sheetData>
  <mergeCells count="122">
    <mergeCell ref="A148:F148"/>
    <mergeCell ref="B133:E133"/>
    <mergeCell ref="D115:E115"/>
    <mergeCell ref="A82:A83"/>
    <mergeCell ref="C158:D158"/>
    <mergeCell ref="D156:F156"/>
    <mergeCell ref="A79:B79"/>
    <mergeCell ref="D78:E78"/>
    <mergeCell ref="B145:F145"/>
    <mergeCell ref="A115:B115"/>
    <mergeCell ref="D154:F154"/>
    <mergeCell ref="C17:F17"/>
    <mergeCell ref="B106:E106"/>
    <mergeCell ref="E22:F22"/>
    <mergeCell ref="E135:F135"/>
    <mergeCell ref="B48:F48"/>
    <mergeCell ref="B49:F49"/>
    <mergeCell ref="A34:F34"/>
    <mergeCell ref="A135:D135"/>
    <mergeCell ref="D122:E122"/>
    <mergeCell ref="A125:B125"/>
    <mergeCell ref="D125:E125"/>
    <mergeCell ref="D117:E117"/>
    <mergeCell ref="B44:F44"/>
    <mergeCell ref="C20:D20"/>
    <mergeCell ref="C21:D21"/>
    <mergeCell ref="C18:D18"/>
    <mergeCell ref="B143:F143"/>
    <mergeCell ref="B144:F144"/>
    <mergeCell ref="D116:E116"/>
    <mergeCell ref="B54:F54"/>
    <mergeCell ref="B43:F43"/>
    <mergeCell ref="A165:B165"/>
    <mergeCell ref="C165:D165"/>
    <mergeCell ref="E165:F165"/>
    <mergeCell ref="A24:F24"/>
    <mergeCell ref="A28:F28"/>
    <mergeCell ref="A35:F35"/>
    <mergeCell ref="A81:F81"/>
    <mergeCell ref="A66:B66"/>
    <mergeCell ref="A112:F112"/>
    <mergeCell ref="C105:E105"/>
    <mergeCell ref="C104:E104"/>
    <mergeCell ref="B50:F50"/>
    <mergeCell ref="A136:D136"/>
    <mergeCell ref="E136:F136"/>
    <mergeCell ref="C151:F151"/>
    <mergeCell ref="C152:F152"/>
    <mergeCell ref="A149:F149"/>
    <mergeCell ref="D131:E131"/>
    <mergeCell ref="A147:F147"/>
    <mergeCell ref="B60:E60"/>
    <mergeCell ref="A108:F108"/>
    <mergeCell ref="B113:E113"/>
    <mergeCell ref="A29:B29"/>
    <mergeCell ref="C160:D160"/>
    <mergeCell ref="A134:C134"/>
    <mergeCell ref="E134:F134"/>
    <mergeCell ref="B51:F51"/>
    <mergeCell ref="E18:F18"/>
    <mergeCell ref="D79:E79"/>
    <mergeCell ref="D118:E118"/>
    <mergeCell ref="D119:E119"/>
    <mergeCell ref="D120:E120"/>
    <mergeCell ref="D121:E121"/>
    <mergeCell ref="A131:B131"/>
    <mergeCell ref="A61:C61"/>
    <mergeCell ref="D61:F61"/>
    <mergeCell ref="B55:F55"/>
    <mergeCell ref="B56:F56"/>
    <mergeCell ref="B57:F57"/>
    <mergeCell ref="B58:F58"/>
    <mergeCell ref="D72:E72"/>
    <mergeCell ref="A71:B71"/>
    <mergeCell ref="D71:E71"/>
    <mergeCell ref="A78:B78"/>
    <mergeCell ref="A109:C109"/>
    <mergeCell ref="D109:F109"/>
    <mergeCell ref="A1:F1"/>
    <mergeCell ref="B14:F14"/>
    <mergeCell ref="E19:F19"/>
    <mergeCell ref="A32:B32"/>
    <mergeCell ref="A33:B33"/>
    <mergeCell ref="E20:F20"/>
    <mergeCell ref="E21:F21"/>
    <mergeCell ref="A16:F16"/>
    <mergeCell ref="C33:E33"/>
    <mergeCell ref="A17:B17"/>
    <mergeCell ref="B5:F5"/>
    <mergeCell ref="B10:F10"/>
    <mergeCell ref="C19:D19"/>
    <mergeCell ref="C22:D22"/>
    <mergeCell ref="A25:F26"/>
    <mergeCell ref="B3:F3"/>
    <mergeCell ref="A30:B30"/>
    <mergeCell ref="A31:B31"/>
    <mergeCell ref="D2:F2"/>
    <mergeCell ref="A4:F4"/>
    <mergeCell ref="A160:B160"/>
    <mergeCell ref="E160:F160"/>
    <mergeCell ref="B8:F8"/>
    <mergeCell ref="B7:F7"/>
    <mergeCell ref="B6:F6"/>
    <mergeCell ref="A36:A39"/>
    <mergeCell ref="B47:F47"/>
    <mergeCell ref="B11:F11"/>
    <mergeCell ref="B13:C13"/>
    <mergeCell ref="B15:F15"/>
    <mergeCell ref="E13:F13"/>
    <mergeCell ref="B9:F9"/>
    <mergeCell ref="B40:F40"/>
    <mergeCell ref="B12:F12"/>
    <mergeCell ref="B36:F39"/>
    <mergeCell ref="B41:F41"/>
    <mergeCell ref="B42:F42"/>
    <mergeCell ref="B45:F45"/>
    <mergeCell ref="A46:F46"/>
    <mergeCell ref="B142:F142"/>
    <mergeCell ref="B98:E98"/>
    <mergeCell ref="A140:F141"/>
    <mergeCell ref="E137:F137"/>
    <mergeCell ref="B138:D138"/>
  </mergeCells>
  <phoneticPr fontId="1" type="noConversion"/>
  <pageMargins left="0.31496062992125984" right="0.11811023622047245" top="0.74803149606299213" bottom="0.74803149606299213" header="0.31496062992125984" footer="0.31496062992125984"/>
  <pageSetup paperSize="9" scale="85" orientation="portrait" r:id="rId1"/>
  <headerFooter alignWithMargins="0"/>
  <rowBreaks count="3" manualBreakCount="3">
    <brk id="45" max="5" man="1"/>
    <brk id="96" max="5" man="1"/>
    <brk id="138" max="5" man="1"/>
  </rowBreaks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5</xdr:col>
                <xdr:colOff>476250</xdr:colOff>
                <xdr:row>0</xdr:row>
                <xdr:rowOff>38100</xdr:rowOff>
              </from>
              <to>
                <xdr:col>5</xdr:col>
                <xdr:colOff>990600</xdr:colOff>
                <xdr:row>1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>pamecas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mbasse</dc:creator>
  <cp:lastModifiedBy>HP</cp:lastModifiedBy>
  <cp:lastPrinted>2021-03-01T14:22:59Z</cp:lastPrinted>
  <dcterms:created xsi:type="dcterms:W3CDTF">2006-10-18T14:52:52Z</dcterms:created>
  <dcterms:modified xsi:type="dcterms:W3CDTF">2021-08-23T11:12:29Z</dcterms:modified>
</cp:coreProperties>
</file>